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Y BOT BUILD\FORECLOSURE BOT\"/>
    </mc:Choice>
  </mc:AlternateContent>
  <xr:revisionPtr revIDLastSave="0" documentId="8_{FE39A842-240A-4053-93FB-6177A6AB6B3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Overview" sheetId="1" r:id="rId1"/>
    <sheet name="add definitions and answers" sheetId="2" r:id="rId2"/>
    <sheet name="Quiz" sheetId="3" r:id="rId3"/>
    <sheet name="Agencies" sheetId="4" r:id="rId4"/>
    <sheet name="Laws" sheetId="5" r:id="rId5"/>
    <sheet name="Concepts" sheetId="6" r:id="rId6"/>
    <sheet name="Fed &amp; Pricing" sheetId="7" r:id="rId7"/>
    <sheet name="Loan Types" sheetId="8" r:id="rId8"/>
    <sheet name="Math Formulas" sheetId="9" r:id="rId9"/>
    <sheet name="Qualifying" sheetId="10" r:id="rId10"/>
    <sheet name="Flashcards" sheetId="11" r:id="rId11"/>
    <sheet name="RE2 Module 4" sheetId="12" r:id="rId12"/>
    <sheet name="RE2 Flashcards" sheetId="13" r:id="rId13"/>
    <sheet name="Source Notes" sheetId="14" r:id="rId14"/>
    <sheet name="RE2 Full Concepts" sheetId="15" r:id="rId15"/>
    <sheet name="Due Diligence Review" sheetId="16" r:id="rId16"/>
    <sheet name="Professor AI Intake" sheetId="17" r:id="rId17"/>
    <sheet name="Professor AI Concepts" sheetId="18" r:id="rId18"/>
    <sheet name="Professor AI Questions" sheetId="19" r:id="rId19"/>
    <sheet name="Professor AI Flashcards" sheetId="20" r:id="rId20"/>
  </sheets>
  <definedNames>
    <definedName name="_xlnm._FilterDatabase" localSheetId="2" hidden="1">Quiz!$A$3:$J$119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  <c r="E14" i="10"/>
  <c r="E15" i="10" s="1"/>
  <c r="H6" i="10" s="1"/>
  <c r="E12" i="10"/>
  <c r="E13" i="10" s="1"/>
  <c r="H8" i="10"/>
  <c r="E116" i="9"/>
  <c r="E117" i="9" s="1"/>
  <c r="E113" i="9"/>
  <c r="E111" i="9"/>
  <c r="E109" i="9"/>
  <c r="E108" i="9"/>
  <c r="E107" i="9"/>
  <c r="E102" i="9"/>
  <c r="E103" i="9" s="1"/>
  <c r="E104" i="9" s="1"/>
  <c r="E100" i="9"/>
  <c r="E95" i="9"/>
  <c r="E96" i="9" s="1"/>
  <c r="E94" i="9"/>
  <c r="E93" i="9"/>
  <c r="E90" i="9"/>
  <c r="E89" i="9"/>
  <c r="E88" i="9"/>
  <c r="E80" i="9"/>
  <c r="E81" i="9" s="1"/>
  <c r="E82" i="9" s="1"/>
  <c r="E74" i="9"/>
  <c r="E75" i="9" s="1"/>
  <c r="E68" i="9"/>
  <c r="E69" i="9" s="1"/>
  <c r="E67" i="9"/>
  <c r="E64" i="9"/>
  <c r="E46" i="9"/>
  <c r="E48" i="9" s="1"/>
  <c r="E49" i="9" s="1"/>
  <c r="H33" i="9" s="1"/>
  <c r="E38" i="9"/>
  <c r="E37" i="9"/>
  <c r="E36" i="9"/>
  <c r="E29" i="9"/>
  <c r="E24" i="9"/>
  <c r="E18" i="9"/>
  <c r="E17" i="9"/>
  <c r="E8" i="9"/>
  <c r="E9" i="9" s="1"/>
  <c r="H9" i="9" l="1"/>
  <c r="E10" i="9"/>
  <c r="E17" i="10"/>
  <c r="E16" i="10"/>
  <c r="H7" i="10" s="1"/>
  <c r="H5" i="10"/>
  <c r="E39" i="9"/>
  <c r="E40" i="9" s="1"/>
  <c r="E97" i="9"/>
  <c r="E47" i="9"/>
  <c r="E50" i="9" l="1"/>
  <c r="H34" i="9" s="1"/>
  <c r="E51" i="9"/>
  <c r="H32" i="9"/>
  <c r="E11" i="9"/>
  <c r="H10" i="9"/>
  <c r="E12" i="9"/>
</calcChain>
</file>

<file path=xl/sharedStrings.xml><?xml version="1.0" encoding="utf-8"?>
<sst xmlns="http://schemas.openxmlformats.org/spreadsheetml/2006/main" count="7680" uniqueCount="2444">
  <si>
    <t>Mortgage Exam Study Workbook</t>
  </si>
  <si>
    <t>Prepared for: Tom</t>
  </si>
  <si>
    <t>Topic: Mortgage lending principles, loan types, math, and qualifying ratios</t>
  </si>
  <si>
    <t>Use: Open each tab below to review or drill that topic.</t>
  </si>
  <si>
    <t>Sheet</t>
  </si>
  <si>
    <t>Contents</t>
  </si>
  <si>
    <t>Quiz</t>
  </si>
  <si>
    <t>All 49 practice questions with answers and explanations — the master Q&amp;A spreadsheet</t>
  </si>
  <si>
    <t>Agencies</t>
  </si>
  <si>
    <t>Federal Reserve, Fannie Mae, Freddie Mac, Ginnie Mae, CFPB, HUD, FHA, VA, NMLS</t>
  </si>
  <si>
    <t>Laws</t>
  </si>
  <si>
    <t>Concepts</t>
  </si>
  <si>
    <t>Promissory note, mortgage, deed of trust, foreclosure, primary/secondary markets</t>
  </si>
  <si>
    <t>Fed &amp; Pricing</t>
  </si>
  <si>
    <t>Three monetary tools, yield, discount points, par loans</t>
  </si>
  <si>
    <t>Loan Types</t>
  </si>
  <si>
    <t>Fixed, ARM, balloon, IO, 9 special-purpose types, FHA detail section, USDA rural loan</t>
  </si>
  <si>
    <t>Math Formulas</t>
  </si>
  <si>
    <t>Amortization, discount points, compound interest, and FHA UFMIP — all with live calculators</t>
  </si>
  <si>
    <t>Qualifying</t>
  </si>
  <si>
    <t>Front/back ratios with live calculator (Conv 28/36, FHA 31/43, VA --/41)</t>
  </si>
  <si>
    <t>Flashcards</t>
  </si>
  <si>
    <t>Term-and-definition list for quick review</t>
  </si>
  <si>
    <t>Principles of Real Estate 2 | Module 4</t>
  </si>
  <si>
    <t>Incomplete. Knowledge Goals</t>
  </si>
  <si>
    <t>A Quick Introduction to this Module with Learning Objectives, Key Terms, and a Short Pre-Test</t>
  </si>
  <si>
    <t>📖 Study Tip: Download the Study Guide for this module anytime under the resources tab in the side drawer</t>
  </si>
  <si>
    <t>Completed. Learning Objectives</t>
  </si>
  <si>
    <t>After completing this module, you should be able to:</t>
  </si>
  <si>
    <t>Define the terms: broker, sales agent, business entity, certificate holder, commission, license holder, real estate, residential rental locater, sub-agent as stated in Sub-chapter A of the License Act.</t>
  </si>
  <si>
    <t>List the core real estate courses as required by the Texas Real Estate Commission.</t>
  </si>
  <si>
    <t>Understand the powers and duties of the Texas Real Estate Commission.</t>
  </si>
  <si>
    <t>Explain how a complaint is filed against a licensee and how action is taken by the TREC.</t>
  </si>
  <si>
    <t>Understand the requirements for a real estate licensee.</t>
  </si>
  <si>
    <t>Renew a real estate license.</t>
  </si>
  <si>
    <t>Apply for license certification.</t>
  </si>
  <si>
    <t>Apply the practice by a license holder as outlined in subchapter L.</t>
  </si>
  <si>
    <t>Explain the Real Estate Recovery Trust Account.</t>
  </si>
  <si>
    <t>Explain the liability issues facing a licensee according to TREC.</t>
  </si>
  <si>
    <t>Understand the grounds for suspension or revocation of a real estate license.</t>
  </si>
  <si>
    <t>Understand the penalties for liability issues facing real estate licensees and how they are enforced and punishable by TREC.</t>
  </si>
  <si>
    <t>Comprehend the applicability of the sub-chapters of the Texas Real Estate License Act to their practice in the state of Texas.</t>
  </si>
  <si>
    <t>Practice Quiz — All Questions</t>
  </si>
  <si>
    <t>#</t>
  </si>
  <si>
    <t>Category</t>
  </si>
  <si>
    <t>Type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</si>
  <si>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</si>
  <si>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</si>
  <si>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</si>
  <si>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</si>
  <si>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</si>
  <si>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</si>
  <si>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</si>
  <si>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Activities</t>
  </si>
  <si>
    <t>MC</t>
  </si>
  <si>
    <t>All of the following are mortgage lending activities except:</t>
  </si>
  <si>
    <t>Promissory Note</t>
  </si>
  <si>
    <t>Funding</t>
  </si>
  <si>
    <t>Closing</t>
  </si>
  <si>
    <t>Loan Origination</t>
  </si>
  <si>
    <t>A. Promissory Note</t>
  </si>
  <si>
    <t>The note is a document, not an activity. Funding, closing, and origination are all lender activities.</t>
  </si>
  <si>
    <t>Foreclosure</t>
  </si>
  <si>
    <t>The legal procedure whereby the secured property can be sold to satisfy the unpaid promissory note is called:</t>
  </si>
  <si>
    <t>REO</t>
  </si>
  <si>
    <t>Mortgage</t>
  </si>
  <si>
    <t>Servicing</t>
  </si>
  <si>
    <t>C. Foreclosure</t>
  </si>
  <si>
    <t>Foreclosure is the remedy when the note isn't paid. REO is what the property becomes after the lender takes it back.</t>
  </si>
  <si>
    <t>Markets</t>
  </si>
  <si>
    <t>All of the following are part of the primary mortgage market except:</t>
  </si>
  <si>
    <t>Fannie Mae</t>
  </si>
  <si>
    <t>Mortgage Brokers</t>
  </si>
  <si>
    <t>Mortgage Bankers</t>
  </si>
  <si>
    <t>Correspondent Lenders</t>
  </si>
  <si>
    <t>A. Fannie Mae</t>
  </si>
  <si>
    <t>Fannie Mae buys loans AFTER origination — that's the secondary market. The others all originate loans.</t>
  </si>
  <si>
    <t>The pledge of the property as security of repayment of the note is called:</t>
  </si>
  <si>
    <t>Underwriting</t>
  </si>
  <si>
    <t>B. Mortgage</t>
  </si>
  <si>
    <t>Mortgage (or in Texas, deed of trust) is the security instrument pledging property as collateral.</t>
  </si>
  <si>
    <t>A real estate lien note is also known as:</t>
  </si>
  <si>
    <t>D. Promissory Note</t>
  </si>
  <si>
    <t>Real estate lien note = promissory note. Same document, different name.</t>
  </si>
  <si>
    <t>Which federal law prohibits discrimination in credit transactions?</t>
  </si>
  <si>
    <t>TILA</t>
  </si>
  <si>
    <t>ECOA</t>
  </si>
  <si>
    <t>RESPA</t>
  </si>
  <si>
    <t>SAFE Act</t>
  </si>
  <si>
    <t>B. ECOA</t>
  </si>
  <si>
    <t>Equal Credit Opportunity Act, implemented by Regulation B.</t>
  </si>
  <si>
    <t>Which federal agency enforces federal consumer financial law?</t>
  </si>
  <si>
    <t>HUD</t>
  </si>
  <si>
    <t>CFPB</t>
  </si>
  <si>
    <t>FHA</t>
  </si>
  <si>
    <t>Ginnie Mae</t>
  </si>
  <si>
    <t>B. CFPB</t>
  </si>
  <si>
    <t>Consumer Financial Protection Bureau, created by Dodd-Frank in 2010.</t>
  </si>
  <si>
    <t>Which entity operates the government's mortgage-backed securities program?</t>
  </si>
  <si>
    <t>Freddie Mac</t>
  </si>
  <si>
    <t>C. Ginnie Mae</t>
  </si>
  <si>
    <t>Only government-owned of the three. Guarantees MBS for FHA/VA/USDA loans.</t>
  </si>
  <si>
    <t>Which law ensures banks serve their chartered communities?</t>
  </si>
  <si>
    <t>HMDA</t>
  </si>
  <si>
    <t>CRA</t>
  </si>
  <si>
    <t>FCRA</t>
  </si>
  <si>
    <t>B. CRA</t>
  </si>
  <si>
    <t>Community Reinvestment Act (1977). Banks must do business where they're chartered.</t>
  </si>
  <si>
    <t>Which law established the nationwide MLO licensing system?</t>
  </si>
  <si>
    <t>Dodd-Frank</t>
  </si>
  <si>
    <t>C. SAFE Act</t>
  </si>
  <si>
    <t>Secure and Fair Enforcement for Mortgage Licensing Act (2008). Created NMLS.</t>
  </si>
  <si>
    <t>Fed</t>
  </si>
  <si>
    <t>T/F</t>
  </si>
  <si>
    <t>The Federal Reserve uses three primary monetary policy tools to influence credit.</t>
  </si>
  <si>
    <t>True</t>
  </si>
  <si>
    <t>False</t>
  </si>
  <si>
    <t>The three tools: open market operations, the discount rate, and reserve requirements.</t>
  </si>
  <si>
    <t>Pricing</t>
  </si>
  <si>
    <t>Yield on a loan is determined by the interest rate and the discount points.</t>
  </si>
  <si>
    <t>Yield = note rate + points paid. Points raise the lender's effective return.</t>
  </si>
  <si>
    <t>Banks must hold a percentage of deposits in reserve in cash or at a reserve bank.</t>
  </si>
  <si>
    <t>That's the reserve requirement, one of the Fed's three tools.</t>
  </si>
  <si>
    <t>A par loan is a loan with no discount points.</t>
  </si>
  <si>
    <t>Par = baseline rate, no points charged or credited.</t>
  </si>
  <si>
    <t>TILA and RESPA were integrated into the Loan Estimate and the HUD-1.</t>
  </si>
  <si>
    <t>Loan Estimate + Closing Disclosure. The HUD-1 was retired October 2015 when TRID took effect.</t>
  </si>
  <si>
    <t>The Federal Reserve manages the secondary mortgage market.</t>
  </si>
  <si>
    <t>Fed runs monetary policy. Fannie, Freddie, and Ginnie run the secondary market.</t>
  </si>
  <si>
    <t>All borrowers who apply on the same day receive the same interest rate.</t>
  </si>
  <si>
    <t>Rate depends on credit, LTV, loan type, occupancy, points, lock period.</t>
  </si>
  <si>
    <t>Amort</t>
  </si>
  <si>
    <t>Balance $209,588 at 4.5%. What is the annual interest?</t>
  </si>
  <si>
    <t>$785.96</t>
  </si>
  <si>
    <t>$9,431.46</t>
  </si>
  <si>
    <t>$1,064.04</t>
  </si>
  <si>
    <t>$278.08</t>
  </si>
  <si>
    <t>B. $9,431.46</t>
  </si>
  <si>
    <t>$209,588 × 0.045 = $9,431.46.</t>
  </si>
  <si>
    <t>Annual interest is $9,431.46. What is one month's interest?</t>
  </si>
  <si>
    <t>$786.62</t>
  </si>
  <si>
    <t>A. $785.96</t>
  </si>
  <si>
    <t>$9,431.46 ÷ 12 = $785.96.</t>
  </si>
  <si>
    <t>Payment $1,064.04 and monthly interest $785.96. How much goes to principal?</t>
  </si>
  <si>
    <t>$1,850.00</t>
  </si>
  <si>
    <t>C. $278.08</t>
  </si>
  <si>
    <t>$1,064.04 − $785.96 = $278.08.</t>
  </si>
  <si>
    <t>Starting balance $209,588. $278.08 applied to principal. New balance?</t>
  </si>
  <si>
    <t>$209,309.92</t>
  </si>
  <si>
    <t>$208,523.96</t>
  </si>
  <si>
    <t>$209,866.08</t>
  </si>
  <si>
    <t>$200,156.54</t>
  </si>
  <si>
    <t>A. $209,309.92</t>
  </si>
  <si>
    <t>$209,588 − $278.08 = $209,309.92.</t>
  </si>
  <si>
    <t>In an amortizing loan, the principal portion of each payment grows over time while the interest portion shrinks.</t>
  </si>
  <si>
    <t>As the balance decreases, monthly interest decreases, so more of the fixed payment goes to principal.</t>
  </si>
  <si>
    <t>Loans</t>
  </si>
  <si>
    <t>Monthly payment in a loan is referred to as:</t>
  </si>
  <si>
    <t>Amortization</t>
  </si>
  <si>
    <t>PITI</t>
  </si>
  <si>
    <t>T&amp;I</t>
  </si>
  <si>
    <t>P&amp;I</t>
  </si>
  <si>
    <t>D. P&amp;I</t>
  </si>
  <si>
    <t>Principal + Interest. The loan itself is only principal and interest; taxes and insurance are escrow add-ons.</t>
  </si>
  <si>
    <t>Loan where interest can change at scheduled intervals throughout the loan:</t>
  </si>
  <si>
    <t>Balloon note</t>
  </si>
  <si>
    <t>Fixed-rate mortgage</t>
  </si>
  <si>
    <t>Adjustable Rate Mortgage</t>
  </si>
  <si>
    <t>Cap Loan</t>
  </si>
  <si>
    <t>C. Adjustable Rate Mortgage</t>
  </si>
  <si>
    <t>ARM. The rate adjusts on a schedule tied to an index plus a margin.</t>
  </si>
  <si>
    <t>Loan whose monthly payments include both principal and interest until principal is repaid:</t>
  </si>
  <si>
    <t>Principal</t>
  </si>
  <si>
    <t>Fixed-rate Mortgage</t>
  </si>
  <si>
    <t>Interest</t>
  </si>
  <si>
    <t>Fully amortized</t>
  </si>
  <si>
    <t>D. Fully amortized</t>
  </si>
  <si>
    <t>Refers to payment structure (P+I until zero), not rate type.</t>
  </si>
  <si>
    <t>ARM feature: lower rate during the first year is called:</t>
  </si>
  <si>
    <t>Per Cap Adjustment</t>
  </si>
  <si>
    <t>Initial Cap Adjustment</t>
  </si>
  <si>
    <t>Discounted Initial Rate</t>
  </si>
  <si>
    <t>Lifetime Cap</t>
  </si>
  <si>
    <t>C. Discounted Initial Rate</t>
  </si>
  <si>
    <t>The teaser rate.</t>
  </si>
  <si>
    <t>Interest rate limit over the life of an ARM:</t>
  </si>
  <si>
    <t>Constant Maturity Treasury Rate</t>
  </si>
  <si>
    <t>A. Lifetime Cap</t>
  </si>
  <si>
    <t>The ceiling the rate can never exceed.</t>
  </si>
  <si>
    <t>All of the following are advantages of interest-only ARMs except:</t>
  </si>
  <si>
    <t>Invest the cash flow</t>
  </si>
  <si>
    <t>Protects against a real estate bubble</t>
  </si>
  <si>
    <t>Buy more house</t>
  </si>
  <si>
    <t>Pay principal when convenient</t>
  </si>
  <si>
    <t>B. Protects against a real estate bubble</t>
  </si>
  <si>
    <t>IO loans EXPOSE you to bubbles — no equity is built. The others are real advantages.</t>
  </si>
  <si>
    <t>All of the following are advantages of ARM loans except:</t>
  </si>
  <si>
    <t>Falling interest rates</t>
  </si>
  <si>
    <t>Unpredictable loan payment</t>
  </si>
  <si>
    <t>Higher loans</t>
  </si>
  <si>
    <t>Lower interest rate</t>
  </si>
  <si>
    <t>B. Unpredictable loan payment</t>
  </si>
  <si>
    <t>Unpredictability is the disadvantage — the price paid for the lower starting rate.</t>
  </si>
  <si>
    <t>Math</t>
  </si>
  <si>
    <t>Borrower pays 2.5 points at closing. Loan $155,000 on $198,000 sale. Points charged?</t>
  </si>
  <si>
    <t>$2,755</t>
  </si>
  <si>
    <t>$3,230</t>
  </si>
  <si>
    <t>$3,875</t>
  </si>
  <si>
    <t>$4,380</t>
  </si>
  <si>
    <t>C. $3,875</t>
  </si>
  <si>
    <t>Points apply to the LOAN amount, never sales price: 2.5% × $155,000 = $3,875.</t>
  </si>
  <si>
    <t>Balance $162,500 at 6%, payment $1,199.11. New balance after one payment?</t>
  </si>
  <si>
    <t>$149,634.93</t>
  </si>
  <si>
    <t>$162,113.39</t>
  </si>
  <si>
    <t>$174,418.15</t>
  </si>
  <si>
    <t>$188,738.65</t>
  </si>
  <si>
    <t>B. $162,113.39</t>
  </si>
  <si>
    <t>Monthly interest = $812.50. Principal = $386.61. New balance = $162,500 − $386.61.</t>
  </si>
  <si>
    <t>Mary paid $300 in interest on month 1 at 9% rate. Loan amount?</t>
  </si>
  <si>
    <t>$30,000</t>
  </si>
  <si>
    <t>$40,000</t>
  </si>
  <si>
    <t>$70,000</t>
  </si>
  <si>
    <t>$80,000</t>
  </si>
  <si>
    <t>B. $40,000</t>
  </si>
  <si>
    <t>Annual interest = $300 × 12 = $3,600. Loan = $3,600 ÷ 0.09 = $40,000.</t>
  </si>
  <si>
    <t>Balance $126,385.20, payment $908.70, rate 7.5%. Interest portion of current payment?</t>
  </si>
  <si>
    <t>$534.06</t>
  </si>
  <si>
    <t>$789.91</t>
  </si>
  <si>
    <t>$874.45</t>
  </si>
  <si>
    <t>$1,022.84</t>
  </si>
  <si>
    <t>B. $789.91</t>
  </si>
  <si>
    <t>$126,385.20 × 7.5% ÷ 12 = $789.91.</t>
  </si>
  <si>
    <t>$4,000 deposit at 2.5% compound for 5 years. Future value?</t>
  </si>
  <si>
    <t>$4,525.63</t>
  </si>
  <si>
    <t>$4,987.26</t>
  </si>
  <si>
    <t>$5,501.96</t>
  </si>
  <si>
    <t>$6,116.60</t>
  </si>
  <si>
    <t>A. $4,525.63</t>
  </si>
  <si>
    <t>FV = $4,000 × (1.025)^5 = $4,000 × 1.13141.</t>
  </si>
  <si>
    <t>Account balance $24,333.06 after 5 years at 4% compound. Original deposit?</t>
  </si>
  <si>
    <t>$10,000</t>
  </si>
  <si>
    <t>$12,500</t>
  </si>
  <si>
    <t>$15,000</t>
  </si>
  <si>
    <t>$20,000</t>
  </si>
  <si>
    <t>D. $20,000</t>
  </si>
  <si>
    <t>PV = $24,333.06 ÷ (1.04)^5 = $24,333.06 ÷ 1.21665.</t>
  </si>
  <si>
    <t>LoanTypes</t>
  </si>
  <si>
    <t>A purchase with intent to refurbish a property needs this loan:</t>
  </si>
  <si>
    <t>Rehab Loan</t>
  </si>
  <si>
    <t>Hard Money Loan</t>
  </si>
  <si>
    <t>Balloon Loan</t>
  </si>
  <si>
    <t>Reverse Annuity Mortgage</t>
  </si>
  <si>
    <t>A. Rehab Loan</t>
  </si>
  <si>
    <t>Finances purchase + refurbishment. FHA 203(k) is a common version.</t>
  </si>
  <si>
    <t>Loan with two or more lenders sharing financing and risk:</t>
  </si>
  <si>
    <t>Wraparound Mortgage</t>
  </si>
  <si>
    <t>Package Mortgage</t>
  </si>
  <si>
    <t>Participation Loan</t>
  </si>
  <si>
    <t>Budget Mortgage</t>
  </si>
  <si>
    <t>C. Participation Loan</t>
  </si>
  <si>
    <t>Multiple lenders share in financing one loan.</t>
  </si>
  <si>
    <t>Homeowner 62+ borrows equity without making monthly payments:</t>
  </si>
  <si>
    <t>Contract for Deed</t>
  </si>
  <si>
    <t>B. Reverse Annuity Mortgage</t>
  </si>
  <si>
    <t>RAM. HECM is the FHA-insured version. The defining tell: age 62+.</t>
  </si>
  <si>
    <t>Partially amortized loan with substantially higher final payment:</t>
  </si>
  <si>
    <t>Interest-only</t>
  </si>
  <si>
    <t>C. Balloon Loan</t>
  </si>
  <si>
    <t>Smaller monthly payments plus large lump sum at the end.</t>
  </si>
  <si>
    <t>Loan to finance both real property and personal property in one loan:</t>
  </si>
  <si>
    <t>A. Package Mortgage</t>
  </si>
  <si>
    <t>Single loan combining real + personal property (e.g. furnished condo).</t>
  </si>
  <si>
    <t>Asset-based financing made by a private investor:</t>
  </si>
  <si>
    <t>B. Hard Money Loan</t>
  </si>
  <si>
    <t>Private investor, underwritten on asset value not borrower credit. WATCH: Package = WHAT is financed; Hard Money = WHO finances and on what basis.</t>
  </si>
  <si>
    <t>Preserves existing low rate via seller financing on new note:</t>
  </si>
  <si>
    <t>C. Wraparound Mortgage</t>
  </si>
  <si>
    <t>New note wraps the existing low-rate note. Buyer pays seller; seller keeps paying original lender.</t>
  </si>
  <si>
    <t>Monthly payment includes principal, interest, taxes, AND insurance:</t>
  </si>
  <si>
    <t>B. Budget Mortgage</t>
  </si>
  <si>
    <t>Standard escrowed mortgage (PITI). Taxes/insurance budgeted monthly.</t>
  </si>
  <si>
    <t>Seller retains title until balance of note is repaid:</t>
  </si>
  <si>
    <t>C. Contract for Deed</t>
  </si>
  <si>
    <t>Also called Land Contract. Buyer takes possession but seller keeps title.</t>
  </si>
  <si>
    <t>Qualify</t>
  </si>
  <si>
    <t>Sarah earns $158,250/yr (conventional loan). Max housing payment using FRONT ratio (28%)?</t>
  </si>
  <si>
    <t>$15,187.50</t>
  </si>
  <si>
    <t>$4,747.50</t>
  </si>
  <si>
    <t>$1,160.50</t>
  </si>
  <si>
    <t>$3,693.50</t>
  </si>
  <si>
    <t>D. $3,693.50</t>
  </si>
  <si>
    <t>$158,250 ÷ 12 = $13,187.50 monthly. × 28% = $3,693.50.</t>
  </si>
  <si>
    <t>Sarah earns $158,250/yr (conventional loan). Max total debt using BACK ratio (36%)?</t>
  </si>
  <si>
    <t>$5,697.00</t>
  </si>
  <si>
    <t>$3,615.04</t>
  </si>
  <si>
    <t>D. $4,747.50</t>
  </si>
  <si>
    <t>$13,187.50 × 36% = $4,747.50. This is the cap on TOTAL monthly debt.</t>
  </si>
  <si>
    <t>Sarah earns $158,250/yr with $1,766 monthly debts (conventional). Max house payment she qualifies for?</t>
  </si>
  <si>
    <t>$8,440.00</t>
  </si>
  <si>
    <t>$2,981.50</t>
  </si>
  <si>
    <t>D. $2,981.50</t>
  </si>
  <si>
    <t>Front: $3,693.50. Back: $4,747.50 − $1,766 = $2,981.50. Lower wins. Back ratio is binding.</t>
  </si>
  <si>
    <t>The qualifying payment is always the LOWER of the front-ratio max and back-ratio max-housing.</t>
  </si>
  <si>
    <t>The more conservative limit is the binding constraint.</t>
  </si>
  <si>
    <t>Heavy non-housing debts reduce a buyer's qualifying payment under the back ratio.</t>
  </si>
  <si>
    <t>Back ratio includes ALL debts. More other-debt = less room for housing.</t>
  </si>
  <si>
    <t>What is the FHA Upfront Mortgage Insurance Premium (UFMIP) rate?</t>
  </si>
  <si>
    <t>0.85%</t>
  </si>
  <si>
    <t>1.25%</t>
  </si>
  <si>
    <t>1.75%</t>
  </si>
  <si>
    <t>2.25%</t>
  </si>
  <si>
    <t>C. 1.75%</t>
  </si>
  <si>
    <t>UFMIP = 1.75% of the base loan amount. One-time premium charged on FHA loans, paid at closing or financed.</t>
  </si>
  <si>
    <t>Sales price $250,000 with 3.5% down. What is the base loan amount?</t>
  </si>
  <si>
    <t>$241,250</t>
  </si>
  <si>
    <t>$245,472</t>
  </si>
  <si>
    <t>$250,000</t>
  </si>
  <si>
    <t>$258,750</t>
  </si>
  <si>
    <t>A. $241,250</t>
  </si>
  <si>
    <t>Down payment = $250,000 × 3.5% = $8,750. Base loan = $250,000 − $8,750 = $241,250.</t>
  </si>
  <si>
    <t>Base loan amount $241,250. What is the UFMIP?</t>
  </si>
  <si>
    <t>$2,412.50</t>
  </si>
  <si>
    <t>$4,221.88</t>
  </si>
  <si>
    <t>$8,750.00</t>
  </si>
  <si>
    <t>B. $4,221.88</t>
  </si>
  <si>
    <t>UFMIP = $241,250 × 1.75% = $4,221.88. Roughly $4,222.</t>
  </si>
  <si>
    <t>Base loan $241,250 + UFMIP $4,222 = total loan amount?</t>
  </si>
  <si>
    <t>$254,222</t>
  </si>
  <si>
    <t>B. $245,472</t>
  </si>
  <si>
    <t>When UFMIP is financed, it gets added to base: $241,250 + $4,222 = $245,472.</t>
  </si>
  <si>
    <t>FHA UFMIP can be financed into the loan instead of paid at closing.</t>
  </si>
  <si>
    <t>Borrowers commonly roll UFMIP into the loan, which is why total loan amount exceeds base loan amount.</t>
  </si>
  <si>
    <t>FHA loan programs include a balloon loan.</t>
  </si>
  <si>
    <t>FHA loans are fully amortizing. No balloons. All FHA Section 203 programs amortize to zero.</t>
  </si>
  <si>
    <t>FHA had an influence on real estate financing by creating standards for borrower qualification.</t>
  </si>
  <si>
    <t>The FHA (1934) established underwriting standards that became industry-wide best practices.</t>
  </si>
  <si>
    <t>MIP is paid only once, at closing.</t>
  </si>
  <si>
    <t>Two MIPs exist on FHA loans: UFMIP (upfront, one-time) AND annual MIP (ongoing monthly premium). Both are charged on every FHA loan.</t>
  </si>
  <si>
    <t>Mortgage insurance on an FHA loan is called MIP.</t>
  </si>
  <si>
    <t>FHA = MIP (Mortgage Insurance Premium). Conventional = PMI (Private Mortgage Insurance). Different programs, different names.</t>
  </si>
  <si>
    <t>FHA loans are for U.S. citizens only.</t>
  </si>
  <si>
    <t>FHA is also available to lawful permanent residents (green card holders) with valid Social Security numbers.</t>
  </si>
  <si>
    <t>The LTV on an FHA loan is as high as 96.5%.</t>
  </si>
  <si>
    <t>Max 96.5% LTV = 3.5% minimum down payment for borrowers with credit scores 580+. Scores 500-579 require 10% down (90% LTV).</t>
  </si>
  <si>
    <t>FHA allows for the use of non-traditional credit for borrowers without established credit history.</t>
  </si>
  <si>
    <t>FHA accepts alternative credit references: rent payments, utility bills, insurance premiums, etc. for borrowers without traditional credit.</t>
  </si>
  <si>
    <t>A purchaser of a residential rental property may obtain an FHA loan.</t>
  </si>
  <si>
    <t>FHA is for owner-occupied primary residences only. Multi-unit (2-4 units) is allowed IF the borrower occupies one unit. Pure rental purchase is not eligible.</t>
  </si>
  <si>
    <t>A purchaser of a working ranch may obtain an FHA loan.</t>
  </si>
  <si>
    <t>FHA excludes working farms and ranches. The property must be predominantly residential.</t>
  </si>
  <si>
    <t>FHA insurance is for the whole loan amount.</t>
  </si>
  <si>
    <t>FHA INSURES the entire loan amount (which is why 96.5% LTV is possible). VA only GUARANTEES a portion of the loan.</t>
  </si>
  <si>
    <t>Sum of regular debt plus house payment as a percentage of monthly income:</t>
  </si>
  <si>
    <t>Front Ratio</t>
  </si>
  <si>
    <t>Back Ratio</t>
  </si>
  <si>
    <t>LTV</t>
  </si>
  <si>
    <t>DTI Front</t>
  </si>
  <si>
    <t>B. Back Ratio</t>
  </si>
  <si>
    <t>Back ratio includes housing + ALL other debts ÷ gross monthly income.</t>
  </si>
  <si>
    <t>Which agency is known for its Housing Assistance Program?</t>
  </si>
  <si>
    <t>B. HUD</t>
  </si>
  <si>
    <t>HUD (Department of Housing and Urban Development) administers federal housing assistance programs. Parent of FHA and Ginnie Mae.</t>
  </si>
  <si>
    <t>A loan with no discount points:</t>
  </si>
  <si>
    <t>Par Loan</t>
  </si>
  <si>
    <t>Conforming Loan</t>
  </si>
  <si>
    <t>Conventional Loan</t>
  </si>
  <si>
    <t>Subprime Loan</t>
  </si>
  <si>
    <t>A. Par Loan</t>
  </si>
  <si>
    <t>Mortgage insurance found on an FHA loan:</t>
  </si>
  <si>
    <t>PMI</t>
  </si>
  <si>
    <t>MIP</t>
  </si>
  <si>
    <t>UFMIP only</t>
  </si>
  <si>
    <t>Title Insurance</t>
  </si>
  <si>
    <t>B. MIP</t>
  </si>
  <si>
    <t>MIP = Mortgage Insurance Premium. FHA-specific. (PMI is for conventional loans.)</t>
  </si>
  <si>
    <t>Where investors purchase loans:</t>
  </si>
  <si>
    <t>Primary Market</t>
  </si>
  <si>
    <t>Open Market</t>
  </si>
  <si>
    <t>Secondary Market</t>
  </si>
  <si>
    <t>Federal Reserve</t>
  </si>
  <si>
    <t>C. Secondary Market</t>
  </si>
  <si>
    <t>Secondary market = where loans are bought/sold/securitized after origination. Fannie, Freddie, Ginnie operate here.</t>
  </si>
  <si>
    <t>House payment as a percentage of monthly income:</t>
  </si>
  <si>
    <t>C. Front Ratio</t>
  </si>
  <si>
    <t>Front ratio = housing payment only ÷ gross monthly income.</t>
  </si>
  <si>
    <t>Government rural loan:</t>
  </si>
  <si>
    <t>FHA Loan</t>
  </si>
  <si>
    <t>VA Loan</t>
  </si>
  <si>
    <t>USDA Loan</t>
  </si>
  <si>
    <t>C. USDA Loan</t>
  </si>
  <si>
    <t>USDA Rural Development. Low/zero down for eligible rural/suburban areas. Includes income caps.</t>
  </si>
  <si>
    <t>Default insurance on a conventional loan:</t>
  </si>
  <si>
    <t>Mortgage Guaranty</t>
  </si>
  <si>
    <t>B. PMI</t>
  </si>
  <si>
    <t>PMI = Private Mortgage Insurance. Conventional-loan-specific. Required when LTV &gt; 80%.</t>
  </si>
  <si>
    <t>Percentage of sales price the lender will finance:</t>
  </si>
  <si>
    <t>DTI</t>
  </si>
  <si>
    <t>APR</t>
  </si>
  <si>
    <t>B. LTV</t>
  </si>
  <si>
    <t>Loan-to-Value. Technically uses the LESSER of sales price or appraised value; the question simplified it as sales price.</t>
  </si>
  <si>
    <t>Collateral-dependent loan:</t>
  </si>
  <si>
    <t>Collateral-dependent = asset-based. The loan rises and falls on the property's value, not the borrower's credit.</t>
  </si>
  <si>
    <t>Central Banking System in the United States:</t>
  </si>
  <si>
    <t>FDIC</t>
  </si>
  <si>
    <t>Treasury</t>
  </si>
  <si>
    <t>B. Federal Reserve</t>
  </si>
  <si>
    <t>The Fed is the U.S. central bank. 3 monetary tools: open market ops, discount rate, reserve requirements.</t>
  </si>
  <si>
    <t>Key Agencies &amp; Entities</t>
  </si>
  <si>
    <t>Entity</t>
  </si>
  <si>
    <t>Role</t>
  </si>
  <si>
    <t>Key Facts</t>
  </si>
  <si>
    <t>Central bank / monetary policy</t>
  </si>
  <si>
    <t>Influences cost &amp; availability of credit via 3 tools: open market operations, discount rate, reserve requirements. Does NOT run the secondary market.</t>
  </si>
  <si>
    <t>Fannie Mae (FNMA)</t>
  </si>
  <si>
    <t>Secondary market — GSE</t>
  </si>
  <si>
    <t>Created 1938. Privately-owned GSE. Buys conventional loans from large commercial banks. Provides liquidity to the primary market.</t>
  </si>
  <si>
    <t>Freddie Mac (FHLMC)</t>
  </si>
  <si>
    <t>Chartered 1970. Buys loans from smaller thrifts and credit unions. Increases supply of funds for homeowners and multi-family investors.</t>
  </si>
  <si>
    <t>Ginnie Mae (GNMA)</t>
  </si>
  <si>
    <t>Government-owned / MBS program</t>
  </si>
  <si>
    <t>Inside HUD. Operates the mortgage-backed securities program. Guarantees MBS backed by FHA, VA, and USDA loans. Backed by full faith and credit of U.S. government.</t>
  </si>
  <si>
    <t>Federal consumer protection enforcer</t>
  </si>
  <si>
    <t>Consumer Financial Protection Bureau. Created by Dodd-Frank (2010). Enforces federal consumer financial law including TILA, RESPA, ECOA.</t>
  </si>
  <si>
    <t>Cabinet department for housing</t>
  </si>
  <si>
    <t>Department of Housing and Urban Development. Parent of FHA and Ginnie Mae. Administers fair housing laws and federal housing programs.</t>
  </si>
  <si>
    <t>Loan insurer</t>
  </si>
  <si>
    <t>Federal Housing Administration. Created 1934 (National Housing Act). Insures lenders against borrower default. Does NOT lend directly.</t>
  </si>
  <si>
    <t>VA</t>
  </si>
  <si>
    <t>Loan guarantor for veterans</t>
  </si>
  <si>
    <t>Department of Veterans Affairs. Guarantees loans to eligible veterans. No down payment, no PMI. Does NOT lend directly.</t>
  </si>
  <si>
    <t>NMLS</t>
  </si>
  <si>
    <t>Licensing system for MLOs</t>
  </si>
  <si>
    <t>Nationwide Multistate Licensing System. Every state-licensed MLO gets a unique NMLS ID. Created under the SAFE Act.</t>
  </si>
  <si>
    <t>Federal Laws &amp; Regulations</t>
  </si>
  <si>
    <t>Law</t>
  </si>
  <si>
    <t>Full Name</t>
  </si>
  <si>
    <t>Regulation</t>
  </si>
  <si>
    <t>What It Does</t>
  </si>
  <si>
    <t>Equal Credit Opportunity Act</t>
  </si>
  <si>
    <t>Regulation B</t>
  </si>
  <si>
    <t>Prohibits discrimination in credit based on race, color, religion, national origin, sex, marital status, age, or receipt of public assistance.</t>
  </si>
  <si>
    <t>Truth in Lending Act</t>
  </si>
  <si>
    <t>Regulation Z</t>
  </si>
  <si>
    <t>Requires clear disclosure of key credit terms including APR and finance charges.</t>
  </si>
  <si>
    <t>Real Estate Settlement Procedures Act</t>
  </si>
  <si>
    <t>Regulation X</t>
  </si>
  <si>
    <t>Requires settlement cost disclosure and prohibits kickbacks/referral fees between settlement service providers.</t>
  </si>
  <si>
    <t>TRID</t>
  </si>
  <si>
    <t>TILA-RESPA Integrated Disclosure</t>
  </si>
  <si>
    <t>Reg Z / Reg X</t>
  </si>
  <si>
    <t>October 2015. Combined four old forms into two: Loan Estimate (within 3 days of application) + Closing Disclosure (3 days before closing). CD replaced the HUD-1.</t>
  </si>
  <si>
    <t>Secure and Fair Enforcement for Mortgage Licensing Act</t>
  </si>
  <si>
    <t>12 CFR 1008</t>
  </si>
  <si>
    <t>2008. Established minimum standards for state-licensed MLO licensing. Created the NMLS.</t>
  </si>
  <si>
    <t>Community Reinvestment Act</t>
  </si>
  <si>
    <t>12 CFR 25 et seq.</t>
  </si>
  <si>
    <t>1977. Ensures banks do business in the communities where they are chartered, especially low/moderate-income areas.</t>
  </si>
  <si>
    <t>Home Mortgage Disclosure Act</t>
  </si>
  <si>
    <t>Regulation C</t>
  </si>
  <si>
    <t>Requires lenders to publicly report mortgage application and origination data. Used to identify discriminatory lending patterns.</t>
  </si>
  <si>
    <t>Fair Credit Reporting Act</t>
  </si>
  <si>
    <t>15 USC §1681</t>
  </si>
  <si>
    <t>Regulates collection, dissemination, and use of consumer credit information. Gives consumers the right to dispute and access their credit reports.</t>
  </si>
  <si>
    <t>Dodd-Frank Wall Street Reform and Consumer Protection Act</t>
  </si>
  <si>
    <t>Pub. L. 111-203</t>
  </si>
  <si>
    <t>2010. Sweeping post-2008 financial reform. Created the CFPB. Added Ability-to-Repay rule and Qualified Mortgage standards.</t>
  </si>
  <si>
    <t>Federal Reserve &amp; Loan Pricing</t>
  </si>
  <si>
    <t>The Fed's Three Monetary Policy Tools</t>
  </si>
  <si>
    <t>1. Open Market Operations</t>
  </si>
  <si>
    <t>Buying and selling government securities to add or drain bank reserves.</t>
  </si>
  <si>
    <t>2. Discount Rate</t>
  </si>
  <si>
    <t>The interest rate the Fed charges banks for short-term loans.</t>
  </si>
  <si>
    <t>3. Reserve Requirements</t>
  </si>
  <si>
    <t>The percentage of customer deposits banks must hold in cash or at a Federal Reserve bank.</t>
  </si>
  <si>
    <t>Loan Pricing Concepts</t>
  </si>
  <si>
    <t>Yield</t>
  </si>
  <si>
    <t>The lender's actual return on a loan. Yield = note rate + discount points. Points raise the lender's effective yield.</t>
  </si>
  <si>
    <t>Discount Points</t>
  </si>
  <si>
    <t>Prepaid interest. 1 point = 1% of the loan amount. Borrowers buy points to lower their rate; lenders charge points to raise their yield. Rough rule: 1 point ≈ 0.25% rate cut.</t>
  </si>
  <si>
    <t>A loan with NO discount points charged and no premium paid. The baseline rate for that day and that borrower.</t>
  </si>
  <si>
    <t>Reserve Requirement</t>
  </si>
  <si>
    <t>The % of customer deposits a bank must hold in cash or at a Fed reserve bank. Limits how much banks can lend.</t>
  </si>
  <si>
    <t>Same-day rate variance</t>
  </si>
  <si>
    <t>Two borrowers applying the same day rarely get the same rate. Adjustments come from credit score, LTV, loan type, occupancy, property type, lock period, points paid.</t>
  </si>
  <si>
    <t>Loan Type</t>
  </si>
  <si>
    <t>What It Is</t>
  </si>
  <si>
    <t>Fixed-Rate Mortgage</t>
  </si>
  <si>
    <t>Rate structure</t>
  </si>
  <si>
    <t>Interest rate is set at closing and never changes. Most common: 30-year and 15-year fixed.</t>
  </si>
  <si>
    <t>Adjustable Rate Mortgage (ARM)</t>
  </si>
  <si>
    <t>Interest rate changes at scheduled intervals throughout the loan, tied to an index (CMT, SOFR) plus a margin.</t>
  </si>
  <si>
    <t>Fully Amortized Loan</t>
  </si>
  <si>
    <t>Payment structure</t>
  </si>
  <si>
    <t>Every monthly payment covers BOTH principal and interest until the principal is fully repaid by end of term. No balloon at end.</t>
  </si>
  <si>
    <t>Partially amortized. Smaller monthly payments based on long amortization, then a large lump-sum balloon payment at the end.</t>
  </si>
  <si>
    <t>Interest-Only Loan</t>
  </si>
  <si>
    <t>Pay interest only for an initial period. No principal reduction. Lower payment, but builds NO equity. Risky in price drops.</t>
  </si>
  <si>
    <t>Special purpose</t>
  </si>
  <si>
    <t>Finances purchase + refurbishment in one loan. FHA 203(k) is a common version.</t>
  </si>
  <si>
    <t>Two or more lenders share in financing and risk of a single loan. Common on large commercial deals.</t>
  </si>
  <si>
    <t>Reverse Annuity Mortgage (RAM)</t>
  </si>
  <si>
    <t>Homeowners 62+ borrow against home equity with NO monthly payments. Loan repaid at sale/move/death. HECM is the FHA-insured version.</t>
  </si>
  <si>
    <t>Single loan finances BOTH real property AND personal property (furnished condo, equipment-included business). Focus: WHAT is financed.</t>
  </si>
  <si>
    <t>Asset-based financing from a PRIVATE INVESTOR. Underwritten on property value, not borrower credit. Short-term, higher rates. Focus: WHO finances + on what basis.</t>
  </si>
  <si>
    <t>Creative financing</t>
  </si>
  <si>
    <t>Seller financing on a NEW note that wraps around the existing low-rate note. Buyer pays seller; seller continues paying original lender. Preserves existing low rate.</t>
  </si>
  <si>
    <t>Monthly payment includes principal, interest, taxes, AND insurance (full PITI). Standard escrowed mortgage.</t>
  </si>
  <si>
    <t>Aka Land Contract. Seller financing where SELLER RETAINS TITLE until buyer pays off the note. Buyer takes possession but not deed.</t>
  </si>
  <si>
    <t>ARM Caps</t>
  </si>
  <si>
    <t>Initial Cap</t>
  </si>
  <si>
    <t>Limit on how much the rate can move at the FIRST adjustment.</t>
  </si>
  <si>
    <t>Periodic / Per Cap</t>
  </si>
  <si>
    <t>Limit on each subsequent adjustment after the first.</t>
  </si>
  <si>
    <t>The absolute ceiling — the rate can never exceed this over the entire life of the loan.</t>
  </si>
  <si>
    <t>FHA Loan Details</t>
  </si>
  <si>
    <t>Created</t>
  </si>
  <si>
    <t>Insurer</t>
  </si>
  <si>
    <t>Created 1934 by National Housing Act. Insures lenders against borrower default. Does NOT lend directly.</t>
  </si>
  <si>
    <t>Loan structure</t>
  </si>
  <si>
    <t>Fully amortizing</t>
  </si>
  <si>
    <t>FHA loans amortize to zero. NO balloon loans in any FHA program.</t>
  </si>
  <si>
    <t>Insurance type</t>
  </si>
  <si>
    <t>MIP (Mortgage Insurance Premium)</t>
  </si>
  <si>
    <t>FHA mortgage insurance is called MIP — NOT PMI. PMI is the conventional loan equivalent.</t>
  </si>
  <si>
    <t>UFMIP</t>
  </si>
  <si>
    <t>1.75% one-time</t>
  </si>
  <si>
    <t>Upfront Mortgage Insurance Premium = 1.75% of base loan amount. Paid at closing or financed into the loan.</t>
  </si>
  <si>
    <t>Annual MIP</t>
  </si>
  <si>
    <t>Ongoing monthly</t>
  </si>
  <si>
    <t>Annual MIP is paid monthly throughout the life of the loan (rate varies by LTV/term, typically 0.55-1.05%).</t>
  </si>
  <si>
    <t>Coverage scope</t>
  </si>
  <si>
    <t>Full loan amount</t>
  </si>
  <si>
    <t>FHA insurance covers the WHOLE loan amount. This is what enables the high 96.5% LTV. (Contrast: VA only guarantees a portion.)</t>
  </si>
  <si>
    <t>Maximum LTV</t>
  </si>
  <si>
    <t>96.5%</t>
  </si>
  <si>
    <t>3.5% minimum down payment for credit scores 580+. 500-579 score requires 10% down (90% LTV).</t>
  </si>
  <si>
    <t>Eligibility</t>
  </si>
  <si>
    <t>Citizens + lawful permanent residents</t>
  </si>
  <si>
    <t>Available to U.S. citizens AND lawful permanent residents (green card holders) with valid SSN. Not only citizens.</t>
  </si>
  <si>
    <t>Credit flexibility</t>
  </si>
  <si>
    <t>Non-traditional credit allowed</t>
  </si>
  <si>
    <t>Borrowers without traditional credit can use alternative references: rent, utilities, insurance, etc.</t>
  </si>
  <si>
    <t>Property requirements</t>
  </si>
  <si>
    <t>Owner-occupied residential</t>
  </si>
  <si>
    <t>Must be primary residence. 2-4 units allowed IF borrower occupies one unit. NOT for investment-only purchases, working farms, or ranches.</t>
  </si>
  <si>
    <t>Borrower qualification</t>
  </si>
  <si>
    <t>Industry standard-setter</t>
  </si>
  <si>
    <t>FHA's qualification standards influenced industry-wide underwriting practices.</t>
  </si>
  <si>
    <t>MIP vs PMI quick reference</t>
  </si>
  <si>
    <t>FHA loans</t>
  </si>
  <si>
    <t>Mortgage Insurance Premium. UFMIP (1.75% upfront) + Annual MIP (monthly). Covers WHOLE loan amount.</t>
  </si>
  <si>
    <t>Conventional loans</t>
  </si>
  <si>
    <t>Private Mortgage Insurance. Required on conv loans with LTV &gt; 80%. Removable once equity reaches 20%. Allows lender to INCREASE the LTV ratio.</t>
  </si>
  <si>
    <t>USDA Rural Development Loan</t>
  </si>
  <si>
    <t>Government rural loan</t>
  </si>
  <si>
    <t>Backed by USDA (U.S. Department of Agriculture) Rural Development. Securitized through Ginnie Mae.</t>
  </si>
  <si>
    <t>Down payment</t>
  </si>
  <si>
    <t>Up to 100% financing</t>
  </si>
  <si>
    <t>Allows ZERO down payment for eligible borrowers. One of the few loan programs that does.</t>
  </si>
  <si>
    <t>Eligibility — area</t>
  </si>
  <si>
    <t>Rural / some suburban</t>
  </si>
  <si>
    <t>Property must be in a USDA-eligible area. Check via USDA's online eligibility map. Some suburbs qualify.</t>
  </si>
  <si>
    <t>Eligibility — income</t>
  </si>
  <si>
    <t>Income caps apply</t>
  </si>
  <si>
    <t>Borrower household income cannot exceed 115% of the area median income (AMI). Designed for low/moderate income households.</t>
  </si>
  <si>
    <t>Insurance / fees</t>
  </si>
  <si>
    <t>Upfront + annual fee</t>
  </si>
  <si>
    <t>1% upfront guarantee fee (financed) + 0.35% annual fee. Lower than FHA MIP.</t>
  </si>
  <si>
    <t>Primary residence</t>
  </si>
  <si>
    <t>Owner-occupied primary residence only. Single-family detached typical. Not for investment.</t>
  </si>
  <si>
    <t>Term</t>
  </si>
  <si>
    <t>Definition</t>
  </si>
  <si>
    <t>1938. Privately-owned GSE. Buys conventional loans from large banks. Secondary market.</t>
  </si>
  <si>
    <t>1970. Buys loans from smaller thrifts. Increases funds for homeowners and multi-family investors.</t>
  </si>
  <si>
    <t>Government-owned (HUD). Operates the MBS program. Guarantees MBS for FHA/VA/USDA loans.</t>
  </si>
  <si>
    <t>Consumer Financial Protection Bureau. Created by Dodd-Frank (2010). Enforces federal consumer financial law.</t>
  </si>
  <si>
    <t>U.S. central bank. 3 tools: open market operations, discount rate, reserve requirements.</t>
  </si>
  <si>
    <t>Equal Credit Opportunity Act. Anti-discrimination in credit. Regulation B.</t>
  </si>
  <si>
    <t>Truth in Lending Act. Disclosure of APR, finance charges, terms. Regulation Z.</t>
  </si>
  <si>
    <t>Real Estate Settlement Procedures Act. Settlement disclosure. Anti-kickback. Regulation X.</t>
  </si>
  <si>
    <t>TILA-RESPA Integrated Disclosure (Oct 2015). Loan Estimate + Closing Disclosure. CD replaced HUD-1.</t>
  </si>
  <si>
    <t>2008. State MLO licensing standards. Created NMLS.</t>
  </si>
  <si>
    <t>Community Reinvestment Act (1977). Banks must serve their chartered communities.</t>
  </si>
  <si>
    <t>2010 financial reform. Created the CFPB. Added Ability-to-Repay and Qualified Mortgage rules.</t>
  </si>
  <si>
    <t>Borrower's written promise to repay. Aka real estate lien note. The DEBT itself.</t>
  </si>
  <si>
    <t>Pledge of property as security for the note. Two-party. Lien-theory states.</t>
  </si>
  <si>
    <t>Deed of Trust</t>
  </si>
  <si>
    <t>Three-party security instrument used in Texas. Trustor / Trustee / Beneficiary. Non-judicial foreclosure.</t>
  </si>
  <si>
    <t>Legal procedure to sell secured property to satisfy unpaid note.</t>
  </si>
  <si>
    <t>Hypothecation</t>
  </si>
  <si>
    <t>Pledging property as collateral without giving up possession.</t>
  </si>
  <si>
    <t>Where loans are originated. Banks, credit unions, bankers, brokers, correspondents.</t>
  </si>
  <si>
    <t>Where loans are bought, sold, securitized. Fannie, Freddie, Ginnie.</t>
  </si>
  <si>
    <t>Principal + Interest. The loan-only monthly payment. The answer to 'monthly payment in a loan.'</t>
  </si>
  <si>
    <t>Principal + Interest + Taxes + Insurance. The full housing payment.</t>
  </si>
  <si>
    <t>Taxes + Insurance. The escrow-only portion.</t>
  </si>
  <si>
    <t>Lender's actual return on a loan. Yield = note rate + discount points.</t>
  </si>
  <si>
    <t>Prepaid interest. 1 point = 1% of loan. ~0.25% rate cut per point.</t>
  </si>
  <si>
    <t>A loan with NO discount points charged. Baseline rate.</t>
  </si>
  <si>
    <t>Rate set at closing, never changes.</t>
  </si>
  <si>
    <t>Rate changes at scheduled intervals. Index + margin = new rate.</t>
  </si>
  <si>
    <t>Each payment covers P&amp;I until principal is fully repaid. No balloon.</t>
  </si>
  <si>
    <t>Balloon Note</t>
  </si>
  <si>
    <t>Partially amortized. Long-amortization payments + large lump sum at end.</t>
  </si>
  <si>
    <t>Pay interest only for initial period. No principal reduction. No equity built.</t>
  </si>
  <si>
    <t>ARM teaser rate offered for first year+.</t>
  </si>
  <si>
    <t>ARM rate-movement limit at the FIRST adjustment.</t>
  </si>
  <si>
    <t>ARM rate-movement limit on each subsequent adjustment.</t>
  </si>
  <si>
    <t>ARM ceiling — the absolute maximum rate for the entire loan.</t>
  </si>
  <si>
    <t>CMT</t>
  </si>
  <si>
    <t>Constant Maturity Treasury rate. Common ARM index.</t>
  </si>
  <si>
    <t>Two or more lenders share financing and risk on one loan.</t>
  </si>
  <si>
    <t>Homeowners 62+ borrow equity. NO monthly payments. Repaid at sale/move/death.</t>
  </si>
  <si>
    <t>One loan finances BOTH real property AND personal property. (WHAT is financed.)</t>
  </si>
  <si>
    <t>Asset-based financing from PRIVATE INVESTOR. On asset value, not credit. (WHO finances + on what basis.)</t>
  </si>
  <si>
    <t>Seller financing on new note that WRAPS the existing low-rate note.</t>
  </si>
  <si>
    <t>Monthly payment includes principal, interest, taxes, AND insurance (PITI).</t>
  </si>
  <si>
    <t>Aka Land Contract. SELLER RETAINS TITLE until the buyer pays off the note.</t>
  </si>
  <si>
    <t>Amortization 4-step</t>
  </si>
  <si>
    <t>1) Bal × Rate = Annual Interest. 2) ÷ 12 = Monthly Interest. 3) Pay − Interest = Principal. 4) Old Bal − Principal = New Bal.</t>
  </si>
  <si>
    <t>Points Formula</t>
  </si>
  <si>
    <t>Points $ = Points % × LOAN amount (never sales price).</t>
  </si>
  <si>
    <t>Future Value Formula</t>
  </si>
  <si>
    <t>FV = PV × (1 + r)^n. r = annual rate as decimal. n = years.</t>
  </si>
  <si>
    <t>Present Value Formula</t>
  </si>
  <si>
    <t>PV = FV ÷ (1 + r)^n. Inverse of FV.</t>
  </si>
  <si>
    <t>Front-End Ratio</t>
  </si>
  <si>
    <t>Housing payment ÷ gross monthly income. Conv 28%. FHA 31%. VA: not used.</t>
  </si>
  <si>
    <t>Back-End Ratio</t>
  </si>
  <si>
    <t>(Housing + ALL other debts) ÷ gross monthly income. Conv 36%. FHA 43%. VA 41%.</t>
  </si>
  <si>
    <t>Qualifying Payment</t>
  </si>
  <si>
    <t>The LOWER of front-ratio max housing and (back-ratio cap − other debts). Binding ratio wins.</t>
  </si>
  <si>
    <t>FHA UFMIP</t>
  </si>
  <si>
    <t>Upfront Mortgage Insurance Premium. 1.75% of base loan amount. One-time charge on FHA loans, paid at closing or financed.</t>
  </si>
  <si>
    <t>Base Loan Amount</t>
  </si>
  <si>
    <t>Sales Price − Down Payment. The loan amount BEFORE any financed insurance premiums.</t>
  </si>
  <si>
    <t>Total Loan Amount (FHA)</t>
  </si>
  <si>
    <t>Base Loan Amount + UFMIP (if financed). The amount the borrower actually owes if UFMIP is rolled in.</t>
  </si>
  <si>
    <t>FHA UFMIP formula chain</t>
  </si>
  <si>
    <t>1) Base Loan = Sales Price × LTV. 2) UFMIP = Base × 1.75%. 3) Total Loan = Base + UFMIP.</t>
  </si>
  <si>
    <t>LTV reminder</t>
  </si>
  <si>
    <t>LTV = 100% − Down Payment %. With 3.5% down, LTV = 96.5%.</t>
  </si>
  <si>
    <t>FHA loan structure</t>
  </si>
  <si>
    <t>Fully amortizing. NO balloon loans in any FHA program.</t>
  </si>
  <si>
    <t>Mortgage Insurance Premium. FHA's mortgage insurance. Two parts: UFMIP (1.75% one-time) + Annual MIP (monthly).</t>
  </si>
  <si>
    <t>MIP vs PMI</t>
  </si>
  <si>
    <t>MIP = FHA. PMI = Conventional. Same function, different program. Don't mix them up.</t>
  </si>
  <si>
    <t>Ongoing monthly premium paid throughout the FHA loan's life. Rate varies by LTV/term.</t>
  </si>
  <si>
    <t>FHA insurance coverage</t>
  </si>
  <si>
    <t>Covers the WHOLE loan amount. (VA only guarantees a portion.)</t>
  </si>
  <si>
    <t>FHA max LTV</t>
  </si>
  <si>
    <t>96.5% (3.5% min down) for credit 580+. 500-579 requires 10% down. Below 500 = no FHA.</t>
  </si>
  <si>
    <t>FHA eligibility</t>
  </si>
  <si>
    <t>U.S. citizens AND lawful permanent residents. NOT citizens only.</t>
  </si>
  <si>
    <t>FHA non-traditional credit</t>
  </si>
  <si>
    <t>Allows alternative credit references (rent, utilities, insurance) for borrowers without traditional credit.</t>
  </si>
  <si>
    <t>FHA property rules</t>
  </si>
  <si>
    <t>Owner-occupied primary residence only. 2-4 units OK if borrower lives in one. NOT for pure investment, farms, or ranches.</t>
  </si>
  <si>
    <t>FHA influence</t>
  </si>
  <si>
    <t>1934 creation established borrower qualification standards that became industry-wide.</t>
  </si>
  <si>
    <t>Government rural loan. Up to 100% financing. Income caps at 115% of area median. Eligible rural/some suburban areas. Securitized through Ginnie Mae.</t>
  </si>
  <si>
    <t>Collateral-dependent loan</t>
  </si>
  <si>
    <t>Synonym for Hard Money Loan. Loan depends on property value, not borrower credit. Asset-based, private investor.</t>
  </si>
  <si>
    <t>Housing Assistance Program</t>
  </si>
  <si>
    <t>HUD's umbrella term for federal housing assistance. HUD is the parent agency for FHA and Ginnie Mae.</t>
  </si>
  <si>
    <t>Central Banking System</t>
  </si>
  <si>
    <t>The Federal Reserve. U.S. central bank. 3 monetary tools: open market ops, discount rate, reserve requirements.</t>
  </si>
  <si>
    <t>Three government loan programs</t>
  </si>
  <si>
    <t>FHA (insured) / VA (guaranteed, veterans) / USDA (rural). All three flow through Ginnie Mae's MBS program.</t>
  </si>
  <si>
    <t>Default insurance vocabulary</t>
  </si>
  <si>
    <t>MIP = FHA. PMI = Conventional. USDA = guarantee fee. VA = funding fee. Same function, program-specific names.</t>
  </si>
  <si>
    <t>Expanded: mortgage core concepts plus full RE2 Module 4 concept checklist, agency relationships, TREC/TRELA, licensing, broker responsibility, advertising, complaints, recovery fund, and exam traps.</t>
  </si>
  <si>
    <t>RE2 Module 4</t>
  </si>
  <si>
    <t>New filled-in Principles of Real Estate 2 Module 4 study sheet with terms, definitions, agency answers, sources, and 15 practice questions.</t>
  </si>
  <si>
    <t>add definitions and answers</t>
  </si>
  <si>
    <t>Original Module 4 objectives preserved; continued fill-in table added starting at row 27.</t>
  </si>
  <si>
    <t>RE2 Flashcards</t>
  </si>
  <si>
    <t>Real Estate 2 Module 4 term-and-definition flashcards.</t>
  </si>
  <si>
    <t>Source Notes</t>
  </si>
  <si>
    <t>Extraction status for the uploaded PDF and source list used to fill the spreadsheet.</t>
  </si>
  <si>
    <t>Important Note</t>
  </si>
  <si>
    <t>The attached PDF rendered/text-extracted as blank except browser header/footer, so the workbook was filled using the workbook objectives, quiz screenshots, and official Texas/TREC sources.</t>
  </si>
  <si>
    <t>RE2 Full Concepts</t>
  </si>
  <si>
    <t>Expanded 90+ row checklist of pertinent concepts with definitions, exam triggers, memory hooks, source URLs, priority, and confidence.</t>
  </si>
  <si>
    <t>Expansion Note</t>
  </si>
  <si>
    <t>The first version was too light in Concepts; this version fills that gap while noting the PDF body text was not extractable.</t>
  </si>
  <si>
    <t>Continued Fill-In: Module 4 Pertinent Terms, Answers, and Sources</t>
  </si>
  <si>
    <t>Note: The attached textbook PDF was blank except browser header/footer, so this continuation uses the workbook objectives, the three agency quiz screenshots, and official TREC/Texas sources.</t>
  </si>
  <si>
    <t>Module Area</t>
  </si>
  <si>
    <t>Term / Topic</t>
  </si>
  <si>
    <t>Answer / Definition</t>
  </si>
  <si>
    <t>Exam Trigger / Memory Hook</t>
  </si>
  <si>
    <t>Mastered?</t>
  </si>
  <si>
    <t>Source URL / Evidence</t>
  </si>
  <si>
    <t>Source Note</t>
  </si>
  <si>
    <t>Priority</t>
  </si>
  <si>
    <t>License Act / Definitions</t>
  </si>
  <si>
    <t>Texas Real Estate License Act (TRELA)</t>
  </si>
  <si>
    <t>Texas Occupations Code Chapter 1101 governing real estate brokers and sales agents.</t>
  </si>
  <si>
    <t>On exam: TRELA = Chapter 1101, not a federal law.</t>
  </si>
  <si>
    <t>Review</t>
  </si>
  <si>
    <t>https://statutes.capitol.texas.gov/Docs/OC/htm/OC.1101.htm</t>
  </si>
  <si>
    <t>Module 4 objective</t>
  </si>
  <si>
    <t>High</t>
  </si>
  <si>
    <t>Texas Real Estate Commission (TREC)</t>
  </si>
  <si>
    <t>Texas agency that regulates, educates, licenses, and disciplines Texas real estate license holders.</t>
  </si>
  <si>
    <t>TREC creates/administers rules and enforcement; the Legislature makes the statutes.</t>
  </si>
  <si>
    <t>https://www.trec.texas.gov/agency-information/rules-and-laws/trec-rules</t>
  </si>
  <si>
    <t>Commission</t>
  </si>
  <si>
    <t>The Texas Real Estate Commission.</t>
  </si>
  <si>
    <t>In TREC Rules, Commission = TREC.</t>
  </si>
  <si>
    <t>Key term</t>
  </si>
  <si>
    <t>License holder</t>
  </si>
  <si>
    <t>A real estate broker or sales agent licensed under Texas Occupations Code Chapter 1101.</t>
  </si>
  <si>
    <t>Broker or sales agent = license holder.</t>
  </si>
  <si>
    <t>Broker</t>
  </si>
  <si>
    <t>A person who, for compensation or expected compensation, performs brokerage acts for another, including selling, buying, leasing, listing, negotiating, auctioning, or helping locate real estate.</t>
  </si>
  <si>
    <t>Broker can sponsor sales agents and represents clients through agency agreements.</t>
  </si>
  <si>
    <t>Sales agent</t>
  </si>
  <si>
    <t>A person licensed by TREC to act as an agent on behalf of a real estate broker and the broker's clients; must be sponsored by a licensed broker to work.</t>
  </si>
  <si>
    <t>Sales agent does not act independently of the broker.</t>
  </si>
  <si>
    <t>https://www.trec.texas.gov/become-licensed/sales-agent</t>
  </si>
  <si>
    <t>Business entity broker</t>
  </si>
  <si>
    <t>A corporation, LLC, partnership, or other authorized business entity that engages in Texas real estate brokerage and is required to be licensed.</t>
  </si>
  <si>
    <t>Business entity brokerage requires designated broker compliance.</t>
  </si>
  <si>
    <t>Certificate holder</t>
  </si>
  <si>
    <t>Older/course language commonly tied to right-of-way agent registration/certificate concepts under Subchapter K; verify against the current statute because Texas now uses right-of-way agent license wording.</t>
  </si>
  <si>
    <t>Possible textbook term; current terminology may differ.</t>
  </si>
  <si>
    <t>Key term - caution</t>
  </si>
  <si>
    <t>Real estate</t>
  </si>
  <si>
    <t>Any interest in real property, including a leasehold, whether located in or outside Texas; it does not include a security interest given to secure an obligation.</t>
  </si>
  <si>
    <t>Leasehold can still be real estate for licensing questions.</t>
  </si>
  <si>
    <t>Residential rental locator</t>
  </si>
  <si>
    <t>A person who, for consideration, offers to locate an apartment unit for lease to a prospective tenant; excludes the owner locating a unit in the owner's own complex.</t>
  </si>
  <si>
    <t>Locator activity requires proper authorization/licensing.</t>
  </si>
  <si>
    <t>Subagent</t>
  </si>
  <si>
    <t>A license holder who represents a principal through cooperation with another broker, usually not directly employed by the principal's broker.</t>
  </si>
  <si>
    <t>Exam idea: subagent owes fiduciary duties to the principal, not the customer.</t>
  </si>
  <si>
    <t>Compensation / commission</t>
  </si>
  <si>
    <t>A commission, fee, or other valuable consideration paid or expected for real estate brokerage services.</t>
  </si>
  <si>
    <t>Compensation triggers licensing rules.</t>
  </si>
  <si>
    <t>Agency</t>
  </si>
  <si>
    <t>Customer</t>
  </si>
  <si>
    <t>A party in a transaction who has not become the agent's client; the license holder must treat customers fairly but does not owe them fiduciary duties.</t>
  </si>
  <si>
    <t>Buyer/seller is a customer until agency is created.</t>
  </si>
  <si>
    <t>Course screenshot / agency quiz</t>
  </si>
  <si>
    <t>Q1</t>
  </si>
  <si>
    <t>Client</t>
  </si>
  <si>
    <t>The principal represented by an agent; once agency is created, the customer becomes a client.</t>
  </si>
  <si>
    <t>Correct answer to Q1: Client.</t>
  </si>
  <si>
    <t>Special agency</t>
  </si>
  <si>
    <t>Limited agency relationship authorizing the agent to perform a specific act or transaction for the principal.</t>
  </si>
  <si>
    <t>Broker-client agreement is most often special agency.</t>
  </si>
  <si>
    <t>Q2</t>
  </si>
  <si>
    <t>General agency</t>
  </si>
  <si>
    <t>Ongoing agency authority to conduct a series of transactions in a particular business area.</t>
  </si>
  <si>
    <t>Broker and broker's associates are most often in a general agency relationship.</t>
  </si>
  <si>
    <t>Q3</t>
  </si>
  <si>
    <t>Universal agency</t>
  </si>
  <si>
    <t>Broadest agency authority; agent can act for the principal in almost all matters, usually through power of attorney.</t>
  </si>
  <si>
    <t>Rare in real estate brokerage exam questions.</t>
  </si>
  <si>
    <t>General agency principles</t>
  </si>
  <si>
    <t>Agency relationships</t>
  </si>
  <si>
    <t>Intermediary</t>
  </si>
  <si>
    <t>A Texas broker may act as intermediary between parties only with proper written consent; the broker must remain neutral and may appoint associates when allowed.</t>
  </si>
  <si>
    <t>Texas intermediary replaces traditional dual agency terminology.</t>
  </si>
  <si>
    <t>Fiduciary duties</t>
  </si>
  <si>
    <t>Common memory device: OLD CAR - Obedience, Loyalty, Disclosure, Confidentiality, Accounting, Reasonable care.</t>
  </si>
  <si>
    <t>Client gets fiduciary duties; customer gets fair/honest treatment.</t>
  </si>
  <si>
    <t>Agency duties</t>
  </si>
  <si>
    <t>Licensing</t>
  </si>
  <si>
    <t>Texas sales agent qualifying education</t>
  </si>
  <si>
    <t>A Texas sales agent applicant must complete 180 classroom hours: Principles I, Principles II, Law of Agency, Law of Contracts, Promulgated Contract Forms, and Real Estate Finance.</t>
  </si>
  <si>
    <t>Six 30-hour courses = 180 total.</t>
  </si>
  <si>
    <t>Learning objective</t>
  </si>
  <si>
    <t>Sales agent sponsorship</t>
  </si>
  <si>
    <t>After meeting requirements, the person is issued an inactive license and must be sponsored by an active Texas licensed broker to work as a sales agent.</t>
  </si>
  <si>
    <t>Inactive license holder cannot perform brokerage services.</t>
  </si>
  <si>
    <t>License requirement</t>
  </si>
  <si>
    <t>Fingerprint/background check</t>
  </si>
  <si>
    <t>Texas requires fingerprints on file for the DPS background check before a sales agent license will issue.</t>
  </si>
  <si>
    <t>Application delay can occur if background history is investigated.</t>
  </si>
  <si>
    <t>First sales agent renewal</t>
  </si>
  <si>
    <t>For first renewal, active or inactive sales agents must have 270 qualifying real estate course hours, including the 30-hour Real Estate Brokerage course, plus TREC Legal Update I and II.</t>
  </si>
  <si>
    <t>First renewal is different from normal CE renewals.</t>
  </si>
  <si>
    <t>https://www.trec.texas.gov/renew-license/real-estate-sales-agent</t>
  </si>
  <si>
    <t>Renewal</t>
  </si>
  <si>
    <t>Active sales agent renewal</t>
  </si>
  <si>
    <t>Active sales agent license renewal requires 18 hours of approved CE: 8 hours Legal Update I/II, 3 hours contract-related coursework, and 7 hours electives.</t>
  </si>
  <si>
    <t>If made a supervisor, Broker Responsibility must be included.</t>
  </si>
  <si>
    <t>Broker Responsibility course</t>
  </si>
  <si>
    <t>A license holder made a supervisor by the broker must complete the 6-hour Broker Responsibility course as part of the renewal education requirement.</t>
  </si>
  <si>
    <t>Supervisor status changes CE requirements.</t>
  </si>
  <si>
    <t>TREC / Enforcement</t>
  </si>
  <si>
    <t>Complaint filing</t>
  </si>
  <si>
    <t>Complaints involving possible violations of TRELA or TREC Rules may be submitted through TREC's complaint process.</t>
  </si>
  <si>
    <t>TREC does not resolve private commission disputes like a court; focus is license-law violations.</t>
  </si>
  <si>
    <t>https://www.trec.texas.gov/public/how-file-complaint</t>
  </si>
  <si>
    <t>TREC enforcement role</t>
  </si>
  <si>
    <t>TREC Enforcement administers complaint investigation and disciplinary enforcement programs to protect consumers and enforce TRELA and TREC Rules.</t>
  </si>
  <si>
    <t>Enforcement can lead to discipline when violations are proven.</t>
  </si>
  <si>
    <t>https://www.trec.texas.gov/agency-information/about-trec</t>
  </si>
  <si>
    <t>Recovery / Liability</t>
  </si>
  <si>
    <t>Real Estate Recovery Trust Account</t>
  </si>
  <si>
    <t>A TREC fund of last resort to reimburse consumers for qualifying damages caused by TREC license holders when the consumer has obtained a final civil judgment and other requirements are met.</t>
  </si>
  <si>
    <t>Requires lawsuit/final judgment first; not instant complaint money.</t>
  </si>
  <si>
    <t>https://www.trec.texas.gov/public/real-estate-recovery-funds</t>
  </si>
  <si>
    <t>Grounds for discipline</t>
  </si>
  <si>
    <t>TREC may suspend, revoke, or take other disciplinary action for violations such as fraud, negligence, incompetence, unlicensed practice, improper compensation, or violating TRELA/TREC Rules.</t>
  </si>
  <si>
    <t>Discipline protects public and license integrity.</t>
  </si>
  <si>
    <t>License holder integrity</t>
  </si>
  <si>
    <t>TREC rules require integrity, prudence, caution, and avoidance of misrepresentation by acts or omissions.</t>
  </si>
  <si>
    <t>Exam trigger: misrepresentation can be active or by omission.</t>
  </si>
  <si>
    <t>TREC Rule 531</t>
  </si>
  <si>
    <t>License holder competency</t>
  </si>
  <si>
    <t>A license holder must be knowledgeable and competent, including local market issues, industry developments, judgment and skill, and the specific real estate being brokered.</t>
  </si>
  <si>
    <t>Geographic and subject-matter competency matter.</t>
  </si>
  <si>
    <t>The sale of a $292,500 home gave the listing broker $10,237.50. The selling broker received the same amount of commission. What was the rate of the commission charged?</t>
  </si>
  <si>
    <t>5.30%</t>
  </si>
  <si>
    <t>9.25%</t>
  </si>
  <si>
    <t>7.30%</t>
  </si>
  <si>
    <t>7%</t>
  </si>
  <si>
    <t>D. 7%</t>
  </si>
  <si>
    <t>$10,237.50 + $10,237.50 = $20,475 total commission. $20,475 ÷ $292,500 = 0.07 = 7%.</t>
  </si>
  <si>
    <t>The market value of a property is $425,000. The appraised value is 95% of market value. What is the appraised value of the property?</t>
  </si>
  <si>
    <t>$403,750</t>
  </si>
  <si>
    <t>$21,250</t>
  </si>
  <si>
    <t>$416,350</t>
  </si>
  <si>
    <t>$395,675</t>
  </si>
  <si>
    <t>A. $403,750</t>
  </si>
  <si>
    <t>$425,000 × 95% = $403,750.</t>
  </si>
  <si>
    <t>John owns 787,253 square feet of land. How many acres does he own?</t>
  </si>
  <si>
    <t>20</t>
  </si>
  <si>
    <t>18</t>
  </si>
  <si>
    <t>180</t>
  </si>
  <si>
    <t>10</t>
  </si>
  <si>
    <t>B. 18</t>
  </si>
  <si>
    <t>1 acre = 43,560 square feet. 787,253 ÷ 43,560 = 18.07 acres, so the closest answer is 18 acres.</t>
  </si>
  <si>
    <t>Fair Housing</t>
  </si>
  <si>
    <t>Which law provides no exceptions and prohibits discrimination based on race or color in property rights?</t>
  </si>
  <si>
    <t>Civil Rights Act of 1968</t>
  </si>
  <si>
    <t>Civil Rights Act of 1866</t>
  </si>
  <si>
    <t>Texas Fair Housing Act</t>
  </si>
  <si>
    <t>Americans with Disabilities Act</t>
  </si>
  <si>
    <t>B. Civil Rights Act of 1866</t>
  </si>
  <si>
    <t>The 1866 Act protects race/color property rights and provides no exceptions.</t>
  </si>
  <si>
    <t>Any attempt to induce panic selling in a neighborhood for financial gain is called:</t>
  </si>
  <si>
    <t>Steering</t>
  </si>
  <si>
    <t>Redlining</t>
  </si>
  <si>
    <t>Blockbusting</t>
  </si>
  <si>
    <t>Subagency</t>
  </si>
  <si>
    <t>C. Blockbusting</t>
  </si>
  <si>
    <t>Blockbusting is also known as panic peddling.</t>
  </si>
  <si>
    <t>Blockbusting is also known as:</t>
  </si>
  <si>
    <t>Channeling</t>
  </si>
  <si>
    <t>Panic peddling</t>
  </si>
  <si>
    <t>Novation</t>
  </si>
  <si>
    <t>B. Panic peddling</t>
  </si>
  <si>
    <t>The PDF identifies blockbusting as panic peddling.</t>
  </si>
  <si>
    <t>Directing buyers into or away from areas because of race, religion, familial status, or another protected class is:</t>
  </si>
  <si>
    <t>Conciliation</t>
  </si>
  <si>
    <t>Indemnification</t>
  </si>
  <si>
    <t>A. Steering</t>
  </si>
  <si>
    <t>Steering is also known as channeling.</t>
  </si>
  <si>
    <t>Which is NOT a federal Fair Housing Act protected class?</t>
  </si>
  <si>
    <t>National origin</t>
  </si>
  <si>
    <t>Familial status</t>
  </si>
  <si>
    <t>Age</t>
  </si>
  <si>
    <t>Disability</t>
  </si>
  <si>
    <t>C. Age</t>
  </si>
  <si>
    <t>Age is not a protected class under the federal Fair Housing Act.</t>
  </si>
  <si>
    <t>Prohibition against discriminatory advertising applies to:</t>
  </si>
  <si>
    <t>Only brokered transactions</t>
  </si>
  <si>
    <t>Single-family and owner-occupied housing that may otherwise be exempt</t>
  </si>
  <si>
    <t>Commercial-only listings</t>
  </si>
  <si>
    <t>Only HUD-subsidized housing</t>
  </si>
  <si>
    <t>B. Single-family and owner-occupied housing that may otherwise be exempt</t>
  </si>
  <si>
    <t>The advertising prohibition still applies to otherwise exempt housing categories.</t>
  </si>
  <si>
    <t>In a fair housing administrative hearing, who litigates the case?</t>
  </si>
  <si>
    <t>TREC attorneys</t>
  </si>
  <si>
    <t>HUD attorneys</t>
  </si>
  <si>
    <t>Local MLS attorneys</t>
  </si>
  <si>
    <t>The listing broker</t>
  </si>
  <si>
    <t>B. HUD attorneys</t>
  </si>
  <si>
    <t>HUD attorneys litigate before an Administrative Law Judge.</t>
  </si>
  <si>
    <t>Texas passed the Texas Fair Housing Act in:</t>
  </si>
  <si>
    <t>1866</t>
  </si>
  <si>
    <t>1968</t>
  </si>
  <si>
    <t>1974</t>
  </si>
  <si>
    <t>1989</t>
  </si>
  <si>
    <t>D. 1989</t>
  </si>
  <si>
    <t>The Texas Fair Housing Act closely parallels federal law.</t>
  </si>
  <si>
    <t>Housing Credit</t>
  </si>
  <si>
    <t>Which agency has authority to examine and enforce consumer protection regulations for mortgage-related businesses and banks/credit unions with assets over $10 billion?</t>
  </si>
  <si>
    <t>EEOC</t>
  </si>
  <si>
    <t>TREC</t>
  </si>
  <si>
    <t>The CFPB enforces federal consumer financial law and mortgage-related consumer protection rules.</t>
  </si>
  <si>
    <t>Which law prohibits discrimination in lending based on race, color, religion, national origin, sex, marital status, age, or public-assistance income?</t>
  </si>
  <si>
    <t>C. ECOA</t>
  </si>
  <si>
    <t>The Equal Credit Opportunity Act prohibits discriminatory credit practices.</t>
  </si>
  <si>
    <t>Which law is designed to protect consumers against unfair credit reporting practices and protect credit privacy?</t>
  </si>
  <si>
    <t>DTPA</t>
  </si>
  <si>
    <t>ADA</t>
  </si>
  <si>
    <t>A. FCRA</t>
  </si>
  <si>
    <t>The Fair Credit Reporting Act governs consumer reporting agencies and users of credit reports.</t>
  </si>
  <si>
    <t>An agency relationship exists when:</t>
  </si>
  <si>
    <t>A lender approves a loan</t>
  </si>
  <si>
    <t>An agent acts for or on behalf of a principal</t>
  </si>
  <si>
    <t>A buyer tours an open house</t>
  </si>
  <si>
    <t>A commission is advertised</t>
  </si>
  <si>
    <t>B. An agent acts for or on behalf of a principal</t>
  </si>
  <si>
    <t>Agency is the relationship where the principal authorizes the agent to act.</t>
  </si>
  <si>
    <t>The relationship between a broker and a client in a listing or buyer-representation agreement is most often:</t>
  </si>
  <si>
    <t>B. Special agency</t>
  </si>
  <si>
    <t>Real estate listing and buyer/tenant representation agreements usually create special agency.</t>
  </si>
  <si>
    <t>The relationship between a broker and sponsored sales associates is most often:</t>
  </si>
  <si>
    <t>No agency</t>
  </si>
  <si>
    <t>B. General agency</t>
  </si>
  <si>
    <t>A broker's sponsored agents act as general agents of the broker.</t>
  </si>
  <si>
    <t>Which fiduciary duty requires an agent to protect a client's private information?</t>
  </si>
  <si>
    <t>Disclosure</t>
  </si>
  <si>
    <t>Accounting</t>
  </si>
  <si>
    <t>Confidentiality</t>
  </si>
  <si>
    <t>Reasonable care</t>
  </si>
  <si>
    <t>C. Confidentiality</t>
  </si>
  <si>
    <t>Confidentiality protects private information and negotiating positions.</t>
  </si>
  <si>
    <t>The acronym OLD CAR stands for:</t>
  </si>
  <si>
    <t>Obedience, Loyalty, Disclosure, Confidentiality, Accounting, Reasonable Care</t>
  </si>
  <si>
    <t>Ownership, Listing, Delivery, Credit, Agency, Renewal</t>
  </si>
  <si>
    <t>Offer, Loan, Deed, Closing, Appraisal, Recordation</t>
  </si>
  <si>
    <t>Option, Lease, Debt, Contract, Assignment, Release</t>
  </si>
  <si>
    <t>A. Obedience, Loyalty, Disclosure, Confidentiality, Accounting, Reasonable Care</t>
  </si>
  <si>
    <t>OLD CAR is the agent's fiduciary duties to the principal.</t>
  </si>
  <si>
    <t>Agency created by a written listing agreement is based on:</t>
  </si>
  <si>
    <t>Ostensible authority</t>
  </si>
  <si>
    <t>Express authority</t>
  </si>
  <si>
    <t>Ratification</t>
  </si>
  <si>
    <t>Universal authority</t>
  </si>
  <si>
    <t>B. Express authority</t>
  </si>
  <si>
    <t>Written agreements and specific oral instructions create express authority.</t>
  </si>
  <si>
    <t>A license holder selling a house they own and disclosing their license status is disclosing:</t>
  </si>
  <si>
    <t>Intermediary without appointments</t>
  </si>
  <si>
    <t>Agency coupled with an interest</t>
  </si>
  <si>
    <t>Cooperative agency</t>
  </si>
  <si>
    <t>C. Agency coupled with an interest</t>
  </si>
  <si>
    <t>A license holder must disclose a dual role when they own or seek to buy the property.</t>
  </si>
  <si>
    <t>A property listed by one brokerage and sold by another brokerage is a:</t>
  </si>
  <si>
    <t>Cooperative sale</t>
  </si>
  <si>
    <t>In-house sale</t>
  </si>
  <si>
    <t>Universal sale</t>
  </si>
  <si>
    <t>Transactional sale</t>
  </si>
  <si>
    <t>A. Cooperative sale</t>
  </si>
  <si>
    <t>A cooperative sale has separate listing and selling brokerage firms.</t>
  </si>
  <si>
    <t>A single brokerage firm selling one of its own listings is called a(n):</t>
  </si>
  <si>
    <t>Subagency sale</t>
  </si>
  <si>
    <t>Open listing</t>
  </si>
  <si>
    <t>B. In-house sale</t>
  </si>
  <si>
    <t>The broker is on both the listing and selling side.</t>
  </si>
  <si>
    <t>In Texas, a broker representing both buyer and seller in the same transaction must act as:</t>
  </si>
  <si>
    <t>Universal agent</t>
  </si>
  <si>
    <t>Appraiser</t>
  </si>
  <si>
    <t>C. Intermediary</t>
  </si>
  <si>
    <t>Texas uses intermediary rules when a broker represents both sides.</t>
  </si>
  <si>
    <t>Intermediary with appointments usually applies when:</t>
  </si>
  <si>
    <t>One agent represents both parties and gives advice to both</t>
  </si>
  <si>
    <t>Two associates from the same brokerage are appointed, one for each party</t>
  </si>
  <si>
    <t>No one is represented</t>
  </si>
  <si>
    <t>Only the seller is a client</t>
  </si>
  <si>
    <t>B. Two associates from the same brokerage are appointed, one for each party</t>
  </si>
  <si>
    <t>With appointments, appointed associates may give advice/opinions to their respective parties.</t>
  </si>
  <si>
    <t>Intermediary without appointments means the agent:</t>
  </si>
  <si>
    <t>May negotiate for both clients</t>
  </si>
  <si>
    <t>May give advice only to the seller</t>
  </si>
  <si>
    <t>May not give advice or opinions to either party</t>
  </si>
  <si>
    <t>Must refer both parties to another broker</t>
  </si>
  <si>
    <t>C. May not give advice or opinions to either party</t>
  </si>
  <si>
    <t>Without appointments commonly involves one agent and requires neutrality.</t>
  </si>
  <si>
    <t>The IABS should be provided at:</t>
  </si>
  <si>
    <t>Closing only</t>
  </si>
  <si>
    <t>The first substantive discussion of a possible transaction</t>
  </si>
  <si>
    <t>After the option period</t>
  </si>
  <si>
    <t>After the buyer signs the loan application</t>
  </si>
  <si>
    <t>B. The first substantive discussion of a possible transaction</t>
  </si>
  <si>
    <t>IABS provides consumers information about brokerage services.</t>
  </si>
  <si>
    <t>DTPA / Disclosure</t>
  </si>
  <si>
    <t>The Seller's Disclosure Notice is a good tool to use as a defense in a ______ lawsuit.</t>
  </si>
  <si>
    <t>A. DTPA</t>
  </si>
  <si>
    <t>The notice should be completed by the seller and discloses property facts/defects.</t>
  </si>
  <si>
    <t>Under DTPA, 'knowingly' means:</t>
  </si>
  <si>
    <t>No awareness at all</t>
  </si>
  <si>
    <t>Actual awareness of a falsity, deception, or unfairness</t>
  </si>
  <si>
    <t>A good-faith mistake</t>
  </si>
  <si>
    <t>Only criminal intent</t>
  </si>
  <si>
    <t>B. Actual awareness of a falsity, deception, or unfairness</t>
  </si>
  <si>
    <t>Knowingly is actual awareness of a falsity, deception, or unfairness.</t>
  </si>
  <si>
    <t>Under DTPA, 'intentionally' means actual awareness or:</t>
  </si>
  <si>
    <t>A clerical error</t>
  </si>
  <si>
    <t>Flagrant disregard of prudent and fair business practices</t>
  </si>
  <si>
    <t>Merely being late</t>
  </si>
  <si>
    <t>Any oral statement</t>
  </si>
  <si>
    <t>B. Flagrant disregard of prudent and fair business practices</t>
  </si>
  <si>
    <t>Intentionally can support enhanced damages.</t>
  </si>
  <si>
    <t>Using the T formula, if Total and Percentage are known, the Part equals:</t>
  </si>
  <si>
    <t>Total / Percentage</t>
  </si>
  <si>
    <t>Part / Total</t>
  </si>
  <si>
    <t>Total x Percentage</t>
  </si>
  <si>
    <t>Percentage / Total</t>
  </si>
  <si>
    <t>C. Total x Percentage</t>
  </si>
  <si>
    <t>Part = Total x Percentage.</t>
  </si>
  <si>
    <t>A seller wants to net $85,000, has a $254,850 payoff, $7,600 costs, and pays 6% commission. Required sale price is found by:</t>
  </si>
  <si>
    <t>Adding all known amounts and dividing by 0.94</t>
  </si>
  <si>
    <t>Multiplying net by 6%</t>
  </si>
  <si>
    <t>Dividing payoff by costs</t>
  </si>
  <si>
    <t>Subtracting commission from payoff</t>
  </si>
  <si>
    <t>A. Adding all known amounts and dividing by 0.94</t>
  </si>
  <si>
    <t>Required sale price = (net + payoff + costs) / (1 - commission rate).</t>
  </si>
  <si>
    <t>Annual property taxes for assessed value of $459,000 at a 1.7% rate are:</t>
  </si>
  <si>
    <t>$7,803</t>
  </si>
  <si>
    <t>$780.30</t>
  </si>
  <si>
    <t>$45,900</t>
  </si>
  <si>
    <t>$6,120</t>
  </si>
  <si>
    <t>A. $7,803</t>
  </si>
  <si>
    <t>$459,000 x 0.017 = $7,803.</t>
  </si>
  <si>
    <t>Daily interest is calculated by:</t>
  </si>
  <si>
    <t>Loan balance x rate x 12</t>
  </si>
  <si>
    <t>Loan balance x annual rate / 365</t>
  </si>
  <si>
    <t>Loan balance / annual rate</t>
  </si>
  <si>
    <t>Payment x rate</t>
  </si>
  <si>
    <t>B. Loan balance x annual rate / 365</t>
  </si>
  <si>
    <t>Multiply daily interest by days owed and round at the end.</t>
  </si>
  <si>
    <t>The area of a rectangle is:</t>
  </si>
  <si>
    <t>Length x width</t>
  </si>
  <si>
    <t>Length x width x height</t>
  </si>
  <si>
    <t>Base x height / 2</t>
  </si>
  <si>
    <t>Square feet / 43,560</t>
  </si>
  <si>
    <t>A. Length x width</t>
  </si>
  <si>
    <t>Area of square/rectangle = L x W.</t>
  </si>
  <si>
    <t>The area of a triangle is:</t>
  </si>
  <si>
    <t>Frontage x price</t>
  </si>
  <si>
    <t>B. Base x height / 2</t>
  </si>
  <si>
    <t>Triangle area is one-half base times height.</t>
  </si>
  <si>
    <t>One acre equals:</t>
  </si>
  <si>
    <t>5,280 square feet</t>
  </si>
  <si>
    <t>27 cubic feet</t>
  </si>
  <si>
    <t>43,560 square feet</t>
  </si>
  <si>
    <t>9 square yards</t>
  </si>
  <si>
    <t>C. 43,560 square feet</t>
  </si>
  <si>
    <t>Acres = square feet / 43,560.</t>
  </si>
  <si>
    <t>Volume is calculated as:</t>
  </si>
  <si>
    <t>Annual expense / days</t>
  </si>
  <si>
    <t>B. Length x width x height</t>
  </si>
  <si>
    <t>Volume answers are in cubic units.</t>
  </si>
  <si>
    <t>For real estate prorations, use what number of days in a year unless otherwise stated?</t>
  </si>
  <si>
    <t>360</t>
  </si>
  <si>
    <t>365</t>
  </si>
  <si>
    <t>366</t>
  </si>
  <si>
    <t>30</t>
  </si>
  <si>
    <t>B. 365</t>
  </si>
  <si>
    <t>The PDF states to use a 365-day year unless otherwise stated.</t>
  </si>
  <si>
    <t>For a September 15 closing and $2,200 annual tax bill, the seller owes taxes for 258 days. The proration is:</t>
  </si>
  <si>
    <t>$1,555.07</t>
  </si>
  <si>
    <t>$2,200.00</t>
  </si>
  <si>
    <t>$644.93</t>
  </si>
  <si>
    <t>$6.03</t>
  </si>
  <si>
    <t>A. $1,555.07</t>
  </si>
  <si>
    <t>$2,200 / 365 x 258 = $1,555.07.</t>
  </si>
  <si>
    <t>One discount point equals:</t>
  </si>
  <si>
    <t>1% of the loan amount</t>
  </si>
  <si>
    <t>1% of the sales price</t>
  </si>
  <si>
    <t>1% of monthly payment</t>
  </si>
  <si>
    <t>10% of the loan amount</t>
  </si>
  <si>
    <t>A. 1% of the loan amount</t>
  </si>
  <si>
    <t>Points are calculated on loan amount.</t>
  </si>
  <si>
    <t>Expanded Concepts — Principles of Real Estate 2 / Module 4 + Agency Basics</t>
  </si>
  <si>
    <t>Updated: 2026-06-01 | Note: attached PDF rendered as blank browser printout, so concepts are built from workbook objectives, screenshots, and official TREC/TRELA sources.</t>
  </si>
  <si>
    <t>Concept</t>
  </si>
  <si>
    <t>Plain-English Definition</t>
  </si>
  <si>
    <t>Exam Trigger / What They Ask</t>
  </si>
  <si>
    <t>Memory Hook / Correct Answer</t>
  </si>
  <si>
    <t>Confidence</t>
  </si>
  <si>
    <t>Agency &amp; Parties</t>
  </si>
  <si>
    <t>Agency relationship</t>
  </si>
  <si>
    <t>A legal relationship where a principal authorizes an agent to act on the principal's behalf.</t>
  </si>
  <si>
    <t>Look for authority, representation, fiduciary duties, principal/client, and agent.</t>
  </si>
  <si>
    <t>Agency = authorization + fiduciary duty.</t>
  </si>
  <si>
    <t>User-uploaded workbook objectives and quiz screenshots</t>
  </si>
  <si>
    <t>Principal / Client</t>
  </si>
  <si>
    <t>The represented party in an agency relationship. In real estate, the client is owed fiduciary duties.</t>
  </si>
  <si>
    <t>A buyer or seller becomes a client after entering an agency relationship.</t>
  </si>
  <si>
    <t>Customer becomes client when agency is created.</t>
  </si>
  <si>
    <t>A party to a transaction who is not represented by the license holder as a client.</t>
  </si>
  <si>
    <t>Unrepresented party still gets honesty and fairness, but not full fiduciary representation.</t>
  </si>
  <si>
    <t>Customer = not your client.</t>
  </si>
  <si>
    <t>A licensed person or business entity authorized to perform brokerage services for compensation or expected compensation.</t>
  </si>
  <si>
    <t>Broker is the party who takes listings/representation agreements and sponsors agents.</t>
  </si>
  <si>
    <t>Broker = responsible license holder.</t>
  </si>
  <si>
    <t>A license holder who acts on behalf of a sponsoring broker and the broker's clients.</t>
  </si>
  <si>
    <t>Sales agent cannot independently perform brokerage services without sponsorship.</t>
  </si>
  <si>
    <t>Sales agent works through broker.</t>
  </si>
  <si>
    <t>Sponsoring broker</t>
  </si>
  <si>
    <t>An active Texas broker who sponsors a sales agent and is responsible for authorized acts of the agent.</t>
  </si>
  <si>
    <t>Exam asks who is responsible for sponsored agent's actions.</t>
  </si>
  <si>
    <t>Broker remains responsible.</t>
  </si>
  <si>
    <t>Limited authority to perform one specific act or transaction for the principal.</t>
  </si>
  <si>
    <t>Broker-client listing/buyer rep relationship is most often special agency.</t>
  </si>
  <si>
    <t>Special = specific task/property.</t>
  </si>
  <si>
    <t>Authority to handle an ongoing series of acts in a business or employment relationship.</t>
  </si>
  <si>
    <t>Broker and sales associates are most often in a general agency relationship.</t>
  </si>
  <si>
    <t>General = ongoing business authority.</t>
  </si>
  <si>
    <t>Broad authority to act for the principal in almost all matters.</t>
  </si>
  <si>
    <t>Rare in ordinary real estate brokerage exam questions; usually requires broad power of attorney.</t>
  </si>
  <si>
    <t>Universal = almost everything.</t>
  </si>
  <si>
    <t>Medium</t>
  </si>
  <si>
    <t>An agency relationship where another license holder assists and owes duties through the primary broker to the principal.</t>
  </si>
  <si>
    <t>Exam may contrast subagent with buyer's agent/intermediary.</t>
  </si>
  <si>
    <t>Subagent serves the original principal, not the customer.</t>
  </si>
  <si>
    <t>Express agency</t>
  </si>
  <si>
    <t>Agency created by written or spoken agreement.</t>
  </si>
  <si>
    <t>Listings and buyer-representation agreements are common express agency examples.</t>
  </si>
  <si>
    <t>Express = directly stated.</t>
  </si>
  <si>
    <t>Implied agency</t>
  </si>
  <si>
    <t>Agency inferred from conduct rather than a formal written or oral agreement.</t>
  </si>
  <si>
    <t>Risk area: acting like you represent someone can create duties or confusion.</t>
  </si>
  <si>
    <t>Implied = conduct creates impression.</t>
  </si>
  <si>
    <t>Agency by ratification</t>
  </si>
  <si>
    <t>Principal accepts or confirms an unauthorized act after it happened.</t>
  </si>
  <si>
    <t>Look for principal later approving the agent's action.</t>
  </si>
  <si>
    <t>Ratify = approve after the fact.</t>
  </si>
  <si>
    <t>Agency by estoppel</t>
  </si>
  <si>
    <t>A principal's conduct causes others to reasonably believe agency exists, preventing denial of that agency.</t>
  </si>
  <si>
    <t>Look for someone allowing another person to appear as their agent.</t>
  </si>
  <si>
    <t>Estoppel = cannot deny what you allowed.</t>
  </si>
  <si>
    <t>High duties owed by agent to client: obedience, loyalty, disclosure, confidentiality, accounting, and reasonable care/skill.</t>
  </si>
  <si>
    <t>If the question says client/principal, think fiduciary duty.</t>
  </si>
  <si>
    <t>OLD CAR.</t>
  </si>
  <si>
    <t>Obedience</t>
  </si>
  <si>
    <t>Agent must follow the client's lawful instructions.</t>
  </si>
  <si>
    <t>Not required to follow illegal instructions.</t>
  </si>
  <si>
    <t>Obey lawful instructions only.</t>
  </si>
  <si>
    <t>Loyalty</t>
  </si>
  <si>
    <t>Agent must put the client's interests above the agent's own interest.</t>
  </si>
  <si>
    <t>Conflicts, secret profits, and self-dealing attack loyalty.</t>
  </si>
  <si>
    <t>Client first.</t>
  </si>
  <si>
    <t>Agent must disclose material information known to the agent that may affect the principal's decision.</t>
  </si>
  <si>
    <t>Failure to disclose known material facts is a common discipline issue.</t>
  </si>
  <si>
    <t>Tell the client material facts.</t>
  </si>
  <si>
    <t>Agent must not disclose the client's confidential information unless authorized or legally required.</t>
  </si>
  <si>
    <t>Often survives termination of the agency relationship.</t>
  </si>
  <si>
    <t>Secrets stay protected.</t>
  </si>
  <si>
    <t>Agent must account for money, documents, and property received.</t>
  </si>
  <si>
    <t>Trust money, escrow records, keys, and documents trigger accounting duties.</t>
  </si>
  <si>
    <t>Track everything of value.</t>
  </si>
  <si>
    <t>Reasonable care and skill</t>
  </si>
  <si>
    <t>Agent must competently perform duties consistent with license-holder standards.</t>
  </si>
  <si>
    <t>Errors, missed deadlines, and poor handling can become liability issues.</t>
  </si>
  <si>
    <t>Competent practice required.</t>
  </si>
  <si>
    <t>Duties to customers</t>
  </si>
  <si>
    <t>A license holder must treat customers honestly and fairly and avoid misleading them, even without fiduciary representation.</t>
  </si>
  <si>
    <t>Customer does not receive loyalty/confidentiality like a client.</t>
  </si>
  <si>
    <t>Honest and fair, not fiduciary.</t>
  </si>
  <si>
    <t>Information About Brokerage Services (IABS)</t>
  </si>
  <si>
    <t>Texas disclosure explaining brokerage relationships and representation options.</t>
  </si>
  <si>
    <t>Usually tested as brokerage-services disclosure, not a contract.</t>
  </si>
  <si>
    <t>IABS informs; it does not create agency by itself.</t>
  </si>
  <si>
    <t>Listing agreement</t>
  </si>
  <si>
    <t>Employment/agency contract between a broker and seller to market/sell property.</t>
  </si>
  <si>
    <t>Listings are taken in the broker's name, not the sales agent's name.</t>
  </si>
  <si>
    <t>Listing = broker-seller contract.</t>
  </si>
  <si>
    <t>https://www.trec.texas.gov/rules-and-laws</t>
  </si>
  <si>
    <t>Buyer representation agreement</t>
  </si>
  <si>
    <t>Agency agreement between a broker and buyer.</t>
  </si>
  <si>
    <t>Creates client status for buyer through the broker.</t>
  </si>
  <si>
    <t>Buyer rep = buyer becomes client.</t>
  </si>
  <si>
    <t>Termination of agency</t>
  </si>
  <si>
    <t>Agency may end by performance, expiration, mutual agreement, revocation/renunciation, destruction of property, death/incapacity, bankruptcy, or law.</t>
  </si>
  <si>
    <t>Confidentiality may continue after termination of the relationship.</t>
  </si>
  <si>
    <t>Agency ends; some duties survive.</t>
  </si>
  <si>
    <t>Texas broker's statutory method for handling a transaction where the broker represents both sides with proper written consent.</t>
  </si>
  <si>
    <t>Texas does not permit traditional dual agency; use intermediary.</t>
  </si>
  <si>
    <t>Intermediary, not dual agent.</t>
  </si>
  <si>
    <t>https://www.trec.texas.gov/article/intermediary-%E2%80%93-did-you-know</t>
  </si>
  <si>
    <t>Dual agency</t>
  </si>
  <si>
    <t>Traditional representation of both principals by one agent; Texas law does not permit dual agency as such.</t>
  </si>
  <si>
    <t>If answer choices include dual agency vs intermediary, Texas answer is intermediary.</t>
  </si>
  <si>
    <t>Dual agency = not permitted in Texas.</t>
  </si>
  <si>
    <t>Appointed license holders</t>
  </si>
  <si>
    <t>In intermediary transactions, the broker may appoint separate sponsored license holders to communicate with and advise each party if statutory requirements are met.</t>
  </si>
  <si>
    <t>Appointed associates may give advice/opinions to assigned party; broker remains intermediary.</t>
  </si>
  <si>
    <t>Appointments divide communication/advice.</t>
  </si>
  <si>
    <t>TRELA / TREC Basics</t>
  </si>
  <si>
    <t>If asked whether law is federal/state, TRELA is Texas state law.</t>
  </si>
  <si>
    <t>TRELA = Chapter 1101.</t>
  </si>
  <si>
    <t>Texas regulatory agency responsible for licensing, rules, education standards, forms, and enforcement for Texas real estate license holders.</t>
  </si>
  <si>
    <t>TREC enforces and administers; legislature passes statutes.</t>
  </si>
  <si>
    <t>TREC = regulator.</t>
  </si>
  <si>
    <t>Sometimes answer choice says Commission instead of TREC.</t>
  </si>
  <si>
    <t>Commission = TREC.</t>
  </si>
  <si>
    <t>A person licensed or registered by TREC under applicable chapters, including broker or sales agent in this module context.</t>
  </si>
  <si>
    <t>If question says license holder, it can mean broker or sales agent.</t>
  </si>
  <si>
    <t>License holder = broker/sales agent umbrella.</t>
  </si>
  <si>
    <t>Brokerage activity</t>
  </si>
  <si>
    <t>Acts performed for compensation or expected compensation, such as selling, buying, leasing, exchanging, negotiating, or listing real estate.</t>
  </si>
  <si>
    <t>Compensation or expectation of compensation is a key trigger for license requirements.</t>
  </si>
  <si>
    <t>Compensation + brokerage act = license issue.</t>
  </si>
  <si>
    <t>Compensation / valuable consideration</t>
  </si>
  <si>
    <t>Money, commission, fee, or other thing of value received or expected for performing brokerage services.</t>
  </si>
  <si>
    <t>Even expected compensation can trigger licensing requirements.</t>
  </si>
  <si>
    <t>Expected pay counts.</t>
  </si>
  <si>
    <t>An interest in real property, including leasehold interests.</t>
  </si>
  <si>
    <t>Do not overlook leases in licensing questions.</t>
  </si>
  <si>
    <t>Leasehold can count.</t>
  </si>
  <si>
    <t>A person who offers to locate residential rental property for compensation.</t>
  </si>
  <si>
    <t>Unlicensed rental locating can trigger enforcement.</t>
  </si>
  <si>
    <t>Locator activity is regulated.</t>
  </si>
  <si>
    <t>A corporation, LLC, partnership, or other business entity licensed to act as a broker through a designated broker.</t>
  </si>
  <si>
    <t>Business entity must have a designated broker who meets requirements.</t>
  </si>
  <si>
    <t>Entity needs designated broker.</t>
  </si>
  <si>
    <t>Designated broker</t>
  </si>
  <si>
    <t>An individual active Texas broker designated to act for a licensed business entity broker.</t>
  </si>
  <si>
    <t>Responsible person behind business-entity brokerage.</t>
  </si>
  <si>
    <t>Designated broker = individual in charge.</t>
  </si>
  <si>
    <t>Certificate holder / ERW context</t>
  </si>
  <si>
    <t>Course language may refer to certificate holder in connection with easement/right-of-way registration or older terminology; verify wording against current TREC rules.</t>
  </si>
  <si>
    <t>If answer choice appears, identify it as a TREC-regulated status, not a sales agent license.</t>
  </si>
  <si>
    <t>Treat as special registration/certificate term.</t>
  </si>
  <si>
    <t>Core real estate courses</t>
  </si>
  <si>
    <t>Texas sales-agent qualifying education includes Principles I, Principles II, Law of Agency, Law of Contracts, Promulgated Contract Forms, and Real Estate Finance.</t>
  </si>
  <si>
    <t>Six 30-hour courses make the 180 qualifying hours.</t>
  </si>
  <si>
    <t>6 x 30 = 180 hours.</t>
  </si>
  <si>
    <t>Subchapters of TRELA</t>
  </si>
  <si>
    <t>TRELA is organized by subchapters covering licensing, practice, discipline, recovery fund, and enforcement concepts.</t>
  </si>
  <si>
    <t>Exam may ask applicability of subchapters, not full numbering.</t>
  </si>
  <si>
    <t>Know the bucket, not every number.</t>
  </si>
  <si>
    <t>Licensing &amp; Renewal</t>
  </si>
  <si>
    <t>Sales agent basic qualifications</t>
  </si>
  <si>
    <t>Applicant must be at least 18, be a U.S. citizen or lawfully admitted alien, and meet honesty, trustworthiness, and integrity standards.</t>
  </si>
  <si>
    <t>Basic eligibility question.</t>
  </si>
  <si>
    <t>18 + lawful status + honesty/integrity.</t>
  </si>
  <si>
    <t>One-year application window</t>
  </si>
  <si>
    <t>Applicant has one year from filing the application to meet license requirements.</t>
  </si>
  <si>
    <t>If requirements not met within one year, application terminates under TREC rules.</t>
  </si>
  <si>
    <t>One year to finish requirements.</t>
  </si>
  <si>
    <t>Fingerprints must be on file with Texas DPS for a background check before a license issues.</t>
  </si>
  <si>
    <t>License will not issue until background check is passed.</t>
  </si>
  <si>
    <t>Fingerprint before license issues.</t>
  </si>
  <si>
    <t>180 classroom hours</t>
  </si>
  <si>
    <t>Initial Texas sales-agent education requires 180 classroom hours of qualifying courses.</t>
  </si>
  <si>
    <t>The course list is six 30-hour courses.</t>
  </si>
  <si>
    <t>Initial sales agent = 180 hours.</t>
  </si>
  <si>
    <t>PearsonVUE exam</t>
  </si>
  <si>
    <t>Texas license exams are administered by PearsonVUE after TREC authorization.</t>
  </si>
  <si>
    <t>Exam scheduling comes after education/application processing.</t>
  </si>
  <si>
    <t>Testing vendor = PearsonVUE.</t>
  </si>
  <si>
    <t>Three exam failures</t>
  </si>
  <si>
    <t>Failing the license exam three times triggers additional education requirements before retesting.</t>
  </si>
  <si>
    <t>Common licensing-process question.</t>
  </si>
  <si>
    <t>Three fails = more education.</t>
  </si>
  <si>
    <t>Inactive license after requirements</t>
  </si>
  <si>
    <t>After meeting requirements, an applicant is issued an inactive license until sponsored by an active Texas broker.</t>
  </si>
  <si>
    <t>Inactive license holder cannot perform real estate services.</t>
  </si>
  <si>
    <t>Inactive until sponsored.</t>
  </si>
  <si>
    <t>Sponsorship request</t>
  </si>
  <si>
    <t>Applicant must be sponsored by an active Texas broker before working as a sales agent.</t>
  </si>
  <si>
    <t>Broker accepts sponsorship through TREC/REALM process.</t>
  </si>
  <si>
    <t>Sponsor activates work authority.</t>
  </si>
  <si>
    <t>Sales agent may not act independently</t>
  </si>
  <si>
    <t>A sales agent may not engage in brokerage activity unless associated with and acting for the sponsoring broker.</t>
  </si>
  <si>
    <t>If sales agent acts outside broker, it's a violation issue.</t>
  </si>
  <si>
    <t>Agent acts through broker.</t>
  </si>
  <si>
    <t>Broker qualifying education</t>
  </si>
  <si>
    <t>Broker applicants need 270 qualifying real estate hours, additional related education, broker responsibility course, and experience requirements under TREC rules.</t>
  </si>
  <si>
    <t>Broker path has heavier education and experience than sales agent.</t>
  </si>
  <si>
    <t>Broker = education + experience + responsibility.</t>
  </si>
  <si>
    <t>First sales-agent renewal / SAE</t>
  </si>
  <si>
    <t>First renewal requires total 270 qualifying real estate course hours including the 30-hour Real Estate Brokerage course, plus Legal Update I and II.</t>
  </si>
  <si>
    <t>SAE is not the same as normal CE.</t>
  </si>
  <si>
    <t>First renewal = 270 + brokerage + legal updates.</t>
  </si>
  <si>
    <t>SAE cannot be deferred</t>
  </si>
  <si>
    <t>For first renewal, SAE requirements may not be deferred; license is not renewed until education is completed.</t>
  </si>
  <si>
    <t>Exam may distinguish SAE deferral from CE deferral.</t>
  </si>
  <si>
    <t>SAE cannot be deferred.</t>
  </si>
  <si>
    <t>Standard active renewal CE</t>
  </si>
  <si>
    <t>Active sales-agent renewal generally requires 18 hours of CE: Legal Update I/II, contract-related coursework, and electives.</t>
  </si>
  <si>
    <t>CE is per renewal period after initial SAE cycle.</t>
  </si>
  <si>
    <t>18 CE hours.</t>
  </si>
  <si>
    <t>Required for brokers and for license holders delegated as supervisors under TREC rules.</t>
  </si>
  <si>
    <t>Also appears in first renewal and CE discussions.</t>
  </si>
  <si>
    <t>Supervisor status changes CE.</t>
  </si>
  <si>
    <t>Inactive renewal</t>
  </si>
  <si>
    <t>A sales agent may renew inactive without CE, but cannot engage in brokerage activity while inactive.</t>
  </si>
  <si>
    <t>Inactive avoids CE but shuts down practice authority.</t>
  </si>
  <si>
    <t>Inactive = no practice.</t>
  </si>
  <si>
    <t>Expired license</t>
  </si>
  <si>
    <t>Late or expired license status affects the ability to renew and can require reapplication if expired too long.</t>
  </si>
  <si>
    <t>Do not confuse inactive with expired.</t>
  </si>
  <si>
    <t>Expired is not a current license.</t>
  </si>
  <si>
    <t>License certification / copy</t>
  </si>
  <si>
    <t>TREC provides processes to request official license records/certification/copies through its licensing systems.</t>
  </si>
  <si>
    <t>Likely tested as administrative ability, not substantive brokerage authority.</t>
  </si>
  <si>
    <t>Certification proves status.</t>
  </si>
  <si>
    <t>Low</t>
  </si>
  <si>
    <t>Broker Responsibility</t>
  </si>
  <si>
    <t>Scope of authorized activities</t>
  </si>
  <si>
    <t>Broker must notify sponsored sales agent in writing of the scope of authorized activities.</t>
  </si>
  <si>
    <t>If broker does not limit scope in writing, broker is responsible for authorized acts.</t>
  </si>
  <si>
    <t>Written scope matters.</t>
  </si>
  <si>
    <t>Broker responsibility for agents</t>
  </si>
  <si>
    <t>Broker is responsible for the authorized acts of sponsored sales agents.</t>
  </si>
  <si>
    <t>Question often asks who is responsible when sales agent acts.</t>
  </si>
  <si>
    <t>Delegation of supervision</t>
  </si>
  <si>
    <t>Broker may delegate supervisory responsibilities in writing but cannot give up overall broker responsibility.</t>
  </si>
  <si>
    <t>Delegated supervisor must be properly designated; broker still ultimately responsible.</t>
  </si>
  <si>
    <t>Delegate tasks, not accountability.</t>
  </si>
  <si>
    <t>Highest fiduciary obligation</t>
  </si>
  <si>
    <t>Broker owes the highest fiduciary obligation to the principal and must convey known information affecting the principal's decision unless law prohibits it.</t>
  </si>
  <si>
    <t>This links broker responsibility with agency duties.</t>
  </si>
  <si>
    <t>Broker's duty to principal is highest.</t>
  </si>
  <si>
    <t>Trust money handling</t>
  </si>
  <si>
    <t>Broker is responsible for proper handling of trust funds and must follow TREC trust-money rules.</t>
  </si>
  <si>
    <t>Escrow/trust funds are high-risk exam topics.</t>
  </si>
  <si>
    <t>Trust funds = broker duty.</t>
  </si>
  <si>
    <t>Trust/escrow records retention</t>
  </si>
  <si>
    <t>TREC materials state trust or escrow records must be kept for four years from receipt or creation.</t>
  </si>
  <si>
    <t>Question may ask how long records are kept.</t>
  </si>
  <si>
    <t>4 years.</t>
  </si>
  <si>
    <t>Compensation paid through broker</t>
  </si>
  <si>
    <t>Sales agent may not accept compensation from anyone other than the broker associated with the agent when commission was earned and may not pay commissions except through sponsoring broker.</t>
  </si>
  <si>
    <t>Direct payment from client to agent is wrong.</t>
  </si>
  <si>
    <t>Money flows through broker.</t>
  </si>
  <si>
    <t>Separate office location</t>
  </si>
  <si>
    <t>Sales agent may work from another office location, but broker remains responsible and agent must act for sponsoring broker.</t>
  </si>
  <si>
    <t>Physical location does not remove broker responsibility.</t>
  </si>
  <si>
    <t>Separate office, same broker responsibility.</t>
  </si>
  <si>
    <t>Listings in broker's name</t>
  </si>
  <si>
    <t>Listings and brokerage service agreements must be solicited and accepted in the broker's name.</t>
  </si>
  <si>
    <t>Sales agent is not the party to the listing agreement.</t>
  </si>
  <si>
    <t>Broker owns the agreement.</t>
  </si>
  <si>
    <t>Broker review of advertising</t>
  </si>
  <si>
    <t>Broker must ensure sponsored sales agent advertising complies with TREC advertising rules.</t>
  </si>
  <si>
    <t>Advertising violations can implicate broker responsibility.</t>
  </si>
  <si>
    <t>Broker reviews ads.</t>
  </si>
  <si>
    <t>Advertising &amp; Disclosures</t>
  </si>
  <si>
    <t>Advertisement definition</t>
  </si>
  <si>
    <t>Any communication by/on behalf of a license holder designed to attract the public to use brokerage services, including digital, social, email, signs, cards, and more.</t>
  </si>
  <si>
    <t>Broad definition; social posts can be ads.</t>
  </si>
  <si>
    <t>If it attracts public brokerage business, it's an ad.</t>
  </si>
  <si>
    <t>Required ad names</t>
  </si>
  <si>
    <t>Each advertisement must include the license holder or team name and broker name in a readily noticeable location.</t>
  </si>
  <si>
    <t>Missing broker name is common violation.</t>
  </si>
  <si>
    <t>Name + broker name required.</t>
  </si>
  <si>
    <t>Broker name size rule</t>
  </si>
  <si>
    <t>Broker's name must be at least half the size of the largest contact information for a sales agent, associated broker, or team name in the ad.</t>
  </si>
  <si>
    <t>Specific size rule often tested.</t>
  </si>
  <si>
    <t>Broker name &gt;= half largest contact info.</t>
  </si>
  <si>
    <t>Misleading advertising</t>
  </si>
  <si>
    <t>Texas law/rules prohibit creating a misleading impression in advertising.</t>
  </si>
  <si>
    <t>'Just sold' claims without involvement can mislead.</t>
  </si>
  <si>
    <t>Do not imply what is not true.</t>
  </si>
  <si>
    <t>Team names</t>
  </si>
  <si>
    <t>Team names cannot mislead the public into thinking the team is independent of the sponsoring broker and must end with team or group under TREC rules.</t>
  </si>
  <si>
    <t>Team/group wording is a detail trap.</t>
  </si>
  <si>
    <t>Team name cannot look like brokerage.</t>
  </si>
  <si>
    <t>Assumed business name / DBA</t>
  </si>
  <si>
    <t>Broker must register assumed business names used in advertising and provide legal authority to use them.</t>
  </si>
  <si>
    <t>DBA use is not informal; TREC rules apply.</t>
  </si>
  <si>
    <t>Register DBA/assumed name.</t>
  </si>
  <si>
    <t>License-holder self-dealing disclosure</t>
  </si>
  <si>
    <t>License holder buying, selling, or leasing for self or certain related entities/family roles must disclose license status in writing before the agreement.</t>
  </si>
  <si>
    <t>Includes spouse, parent/child, certain entities/trusts under rule.</t>
  </si>
  <si>
    <t>Disclose license status in writing.</t>
  </si>
  <si>
    <t>Wholesaling/contract assignment disclosure</t>
  </si>
  <si>
    <t>A license holder selling an option or assigning a contract interest must disclose in writing that they are selling an option/assignment and do not have legal title.</t>
  </si>
  <si>
    <t>Important for investor/wholesaling scenarios.</t>
  </si>
  <si>
    <t>Disclose assignment/option and no title.</t>
  </si>
  <si>
    <t>Consumer Protection Notice</t>
  </si>
  <si>
    <t>TREC consumer notice provides complaint and consumer-information details and is required in specified business/website contexts.</t>
  </si>
  <si>
    <t>Different from IABS and from agency agreement.</t>
  </si>
  <si>
    <t>CPN = consumer complaint/info notice.</t>
  </si>
  <si>
    <t>Contracts &amp; Practice</t>
  </si>
  <si>
    <t>Promulgated forms</t>
  </si>
  <si>
    <t>TREC-promulgated forms must be used by license holders when applicable unless an exception applies.</t>
  </si>
  <si>
    <t>License holders generally fill in forms; they do not draft legal language.</t>
  </si>
  <si>
    <t>Use TREC forms when required.</t>
  </si>
  <si>
    <t>Unauthorized practice of law</t>
  </si>
  <si>
    <t>License holders may not draft legal instruments or legal clauses beyond allowed use of promulgated or approved forms.</t>
  </si>
  <si>
    <t>If legal drafting is needed, use an attorney.</t>
  </si>
  <si>
    <t>Do not practice law.</t>
  </si>
  <si>
    <t>Factual statements/business details only</t>
  </si>
  <si>
    <t>When using TREC-adopted forms, license holders may add factual statements or business details, not legal provisions changing rights/obligations.</t>
  </si>
  <si>
    <t>Paragraph 11 is not for legal drafting.</t>
  </si>
  <si>
    <t>Facts, not legal clauses.</t>
  </si>
  <si>
    <t>Contract for deed limitation</t>
  </si>
  <si>
    <t>TREC states promulgated contract forms are not intended for contract-for-deed use; an attorney should prepare that form.</t>
  </si>
  <si>
    <t>Relevant to owner-finance/contract-for-deed questions.</t>
  </si>
  <si>
    <t>Do not convert TREC form to contract for deed.</t>
  </si>
  <si>
    <t>Statute of Frauds</t>
  </si>
  <si>
    <t>Certain real estate agreements, such as sale contracts and leases over one year, generally must be in writing to be enforceable.</t>
  </si>
  <si>
    <t>Often tested as writing requirement.</t>
  </si>
  <si>
    <t>Sale/lease over 1 year = writing.</t>
  </si>
  <si>
    <t>Net listing</t>
  </si>
  <si>
    <t>A listing where broker's commission is the difference between sale proceeds and seller's desired net; allowed only under limited circumstances and risky.</t>
  </si>
  <si>
    <t>The principal must require it and appear familiar with market values.</t>
  </si>
  <si>
    <t>Net listing = risky/limited.</t>
  </si>
  <si>
    <t>Response-time duty</t>
  </si>
  <si>
    <t>TREC adopted a rule requiring timely response in transaction communications; important for current compliance.</t>
  </si>
  <si>
    <t>Exam providers may include updated ethics/hot-topic items.</t>
  </si>
  <si>
    <t>Respond timely.</t>
  </si>
  <si>
    <t>Complaints &amp; Enforcement</t>
  </si>
  <si>
    <t>A person may file a complaint with TREC when they believe there has been a violation of TRELA or TREC rules.</t>
  </si>
  <si>
    <t>TREC complaint is regulatory, not a civil lawsuit.</t>
  </si>
  <si>
    <t>Complaint = TREC enforcement path.</t>
  </si>
  <si>
    <t>https://www.trec.texas.gov/forms/trec-complaint-overview-manual</t>
  </si>
  <si>
    <t>TREC investigation</t>
  </si>
  <si>
    <t>TREC Enforcement investigates complaints and may take disciplinary action when violations are supported.</t>
  </si>
  <si>
    <t>Administrative enforcement is separate from private lawsuit damages.</t>
  </si>
  <si>
    <t>TREC disciplines license holders.</t>
  </si>
  <si>
    <t>Administrative penalties</t>
  </si>
  <si>
    <t>TREC may assess administrative penalties for violations of statutes/rules; some penalty ranges are listed in TREC rules.</t>
  </si>
  <si>
    <t>Penalty paid to TREC/recovery fund, not the consumer complainant.</t>
  </si>
  <si>
    <t>Penalty is regulatory, not damages.</t>
  </si>
  <si>
    <t>Reprimand, suspension, revocation</t>
  </si>
  <si>
    <t>TREC discipline can include reprimanding a license holder, suspending, or revoking a license, depending on violation.</t>
  </si>
  <si>
    <t>If the question asks what TREC can do, think discipline.</t>
  </si>
  <si>
    <t>License can be restricted or lost.</t>
  </si>
  <si>
    <t>Dishonesty, fraud, misrepresentation, false promise, bad faith, untrustworthiness, improper compensation, misleading ads, trust-money violations, and disclosure failures can support discipline.</t>
  </si>
  <si>
    <t>Common exam bucket: conduct that can suspend/revoke a license.</t>
  </si>
  <si>
    <t>Bad conduct = discipline.</t>
  </si>
  <si>
    <t>Fraudulent license procurement</t>
  </si>
  <si>
    <t>Omitting material information or making material misstatements on an application or renewal can be a violation.</t>
  </si>
  <si>
    <t>Application honesty is part of licensing.</t>
  </si>
  <si>
    <t>Tell truth on application.</t>
  </si>
  <si>
    <t>False promise</t>
  </si>
  <si>
    <t>TREC rule says a false promise can be oral or written and may still be evaluated even if not repeated in the contract.</t>
  </si>
  <si>
    <t>Do not rely only on contract not repeating the promise.</t>
  </si>
  <si>
    <t>False promise still counts.</t>
  </si>
  <si>
    <t>Failure to supervise complaint spillover</t>
  </si>
  <si>
    <t>A complaint against a sponsored sales agent may also examine the broker's supervision.</t>
  </si>
  <si>
    <t>Broker responsibility follows agent complaints.</t>
  </si>
  <si>
    <t>Agent complaint can involve broker.</t>
  </si>
  <si>
    <t>Recovery Trust Account</t>
  </si>
  <si>
    <t>A TREC fund of last resort to reimburse consumers for certain damages caused by license holders when the license holder cannot pay.</t>
  </si>
  <si>
    <t>Not the same as filing a complaint.</t>
  </si>
  <si>
    <t>Recovery fund = last resort reimbursement.</t>
  </si>
  <si>
    <t>Final civil judgment required</t>
  </si>
  <si>
    <t>Consumer must file suit and obtain a final civil court judgment before applying for payment from the recovery fund.</t>
  </si>
  <si>
    <t>TREC complaint alone is not enough.</t>
  </si>
  <si>
    <t>Court judgment first.</t>
  </si>
  <si>
    <t>Two-year lawsuit timing</t>
  </si>
  <si>
    <t>TREC recovery-fund information says the lawsuit must be filed within two years after the events giving rise to the claim.</t>
  </si>
  <si>
    <t>Time limit trap.</t>
  </si>
  <si>
    <t>File suit within 2 years.</t>
  </si>
  <si>
    <t>Abstract of judgment and writ of execution</t>
  </si>
  <si>
    <t>After judgment, applicant must also obtain an abstract of judgment and writ of execution before filing the recovery-fund application.</t>
  </si>
  <si>
    <t>Procedural detail for recovery account questions.</t>
  </si>
  <si>
    <t>Judgment + abstract + writ.</t>
  </si>
  <si>
    <t>Payment limits</t>
  </si>
  <si>
    <t>TREC states recovery-fund payments may not exceed $125,000 per transaction and $250,000 per license holder for multiple transactions.</t>
  </si>
  <si>
    <t>Numbers may be tested.</t>
  </si>
  <si>
    <t>125k transaction / 250k license holder.</t>
  </si>
  <si>
    <t>Complaint vs recovery claim</t>
  </si>
  <si>
    <t>TREC complaint can lead to discipline/penalty; recovery fund claim requires civil judgment and is for reimbursement.</t>
  </si>
  <si>
    <t>Consumer does not receive administrative penalty money.</t>
  </si>
  <si>
    <t>Complaint disciplines; recovery reimburses.</t>
  </si>
  <si>
    <t>Exam Traps</t>
  </si>
  <si>
    <t>Broker-client relationship answer</t>
  </si>
  <si>
    <t>The agreement between broker and client is most often special agency.</t>
  </si>
  <si>
    <t>Quiz item from screenshot.</t>
  </si>
  <si>
    <t>Broker-client = special.</t>
  </si>
  <si>
    <t>Broker-associate relationship answer</t>
  </si>
  <si>
    <t>Broker-associate = general.</t>
  </si>
  <si>
    <t>Customer becomes client answer</t>
  </si>
  <si>
    <t>A buyer or seller is a customer until entering an agency relationship, then becomes a client.</t>
  </si>
  <si>
    <t>Customer + agency = client.</t>
  </si>
  <si>
    <t>TREC vs legislature</t>
  </si>
  <si>
    <t>TREC writes/administers rules and enforces licensing, but statutory law comes from the Texas Legislature/TRELA.</t>
  </si>
  <si>
    <t>Avoid saying TREC creates the statute itself.</t>
  </si>
  <si>
    <t>Legislature makes law; TREC enforces rules.</t>
  </si>
  <si>
    <t>Inactive vs expired</t>
  </si>
  <si>
    <t>Inactive is a current status with no brokerage activity authority; expired is not current and may require late renewal/reapplication.</t>
  </si>
  <si>
    <t>Common licensing distinction.</t>
  </si>
  <si>
    <t>Inactive can renew; expired is danger zone.</t>
  </si>
  <si>
    <t>Customer vs client duties</t>
  </si>
  <si>
    <t>Client gets fiduciary duties; customer gets honesty/fairness and material disclosures but not loyalty/confidentiality as a represented principal.</t>
  </si>
  <si>
    <t>If no agency agreement, do not overstate fiduciary duties.</t>
  </si>
  <si>
    <t>Fiduciary only to client.</t>
  </si>
  <si>
    <t>Added from PROFESSOR REAL ESTATE AI.pdf on 2026-06-01</t>
  </si>
  <si>
    <t>Fair housing fundamental concept</t>
  </si>
  <si>
    <t>Housing should be available to all on an equal basis, subject only to the purchaser's ability to pay.</t>
  </si>
  <si>
    <t>Questions ask the purpose or central idea behind fair housing laws.</t>
  </si>
  <si>
    <t>Equal access + ability to pay.</t>
  </si>
  <si>
    <t>PROFESSOR REAL ESTATE AI.pdf pp. 1-3</t>
  </si>
  <si>
    <t>First federal fair housing law; protects the right to inherit, purchase, lease, sell, hold, and convey property regardless of race or color.</t>
  </si>
  <si>
    <t>No exceptions; lawsuits are filed directly in federal court.</t>
  </si>
  <si>
    <t>1866 = race/color, no exceptions.</t>
  </si>
  <si>
    <t>Civil Rights Act of 1968 / Fair Housing Act</t>
  </si>
  <si>
    <t>Federal law prohibiting housing discrimination originally based on race, color, religion, and national origin; later amended to add sex, handicap/disability, and familial status.</t>
  </si>
  <si>
    <t>1968 FHA = housing discrimination protection.</t>
  </si>
  <si>
    <t>PROFESSOR REAL ESTATE AI.pdf pp. 3-5</t>
  </si>
  <si>
    <t>Protected classes under federal FHA</t>
  </si>
  <si>
    <t>Race, color, national origin, religion, sex, familial status, and handicap/disability.</t>
  </si>
  <si>
    <t>Watch for distractors like age, occupation, income source, or marital status under FHA.</t>
  </si>
  <si>
    <t>Federal FHA has 7 main protected classes.</t>
  </si>
  <si>
    <t>Steering / Channeling</t>
  </si>
  <si>
    <t>Illegal practice of directing buyers or renters into or away from areas because of a protected class.</t>
  </si>
  <si>
    <t>Often appears as recommending neighborhoods based on race, religion, family status, etc.</t>
  </si>
  <si>
    <t>Steering = directing people.</t>
  </si>
  <si>
    <t>PROFESSOR REAL ESTATE AI.pdf pp. 3-4, 8, 12</t>
  </si>
  <si>
    <t>Blockbusting / Panic Peddling</t>
  </si>
  <si>
    <t>Illegal attempt to induce homeowners to panic sell for financial gain by suggesting entry of a protected class into the neighborhood.</t>
  </si>
  <si>
    <t>Question wording says panic selling, values dropping, or sell before a group moves in.</t>
  </si>
  <si>
    <t>Blockbusting = panic peddling.</t>
  </si>
  <si>
    <t>PROFESSOR REAL ESTATE AI.pdf pp. 2, 4, 9, 13</t>
  </si>
  <si>
    <t>Discriminatory advertising</t>
  </si>
  <si>
    <t>Advertising that indicates a limitation or preference based on a protected class is prohibited.</t>
  </si>
  <si>
    <t>Advertising rules apply even to some otherwise exempt single-family and owner-occupied housing.</t>
  </si>
  <si>
    <t>Describe the property, not the preferred occupant.</t>
  </si>
  <si>
    <t>PROFESSOR REAL ESTATE AI.pdf pp. 5-7, 11-15</t>
  </si>
  <si>
    <t>Advertising - racial/ethnic terms</t>
  </si>
  <si>
    <t>Ads may not describe current or potential residents, neighbors, or the neighborhood using racial or ethnic preferences.</t>
  </si>
  <si>
    <t>Examples include 'White only' or 'nice Hispanic neighborhood.'</t>
  </si>
  <si>
    <t>No protected-class preference language.</t>
  </si>
  <si>
    <t>PROFESSOR REAL ESTATE AI.pdf p. 6</t>
  </si>
  <si>
    <t>Advertising - religious preference</t>
  </si>
  <si>
    <t>Ads may not contain explicit religious preferences or limitations.</t>
  </si>
  <si>
    <t>Amenities may be described without stating a preference, such as 'chapel' or 'kosher meals available.'</t>
  </si>
  <si>
    <t>Amenity ok; religious preference not ok.</t>
  </si>
  <si>
    <t>Advertising - sex preference</t>
  </si>
  <si>
    <t>Ads may not state a preference for the sex of a renter except in shared living arrangements.</t>
  </si>
  <si>
    <t>'Female roommate wanted' may be acceptable for shared living; sex preference for ordinary housing is not.</t>
  </si>
  <si>
    <t>Shared living exception.</t>
  </si>
  <si>
    <t>Advertising - disability</t>
  </si>
  <si>
    <t>Ads may not exclude disabled persons or state preferences such as 'able-bodied only.'</t>
  </si>
  <si>
    <t>Any ad excluding wheelchairs or disabled persons is prohibited.</t>
  </si>
  <si>
    <t>No disability exclusion.</t>
  </si>
  <si>
    <t>PROFESSOR REAL ESTATE AI.pdf pp. 6-7</t>
  </si>
  <si>
    <t>Advertising - familial status</t>
  </si>
  <si>
    <t>Ads may not limit children or prefer adults, couples, singles, or no children unless older-person housing exemption applies.</t>
  </si>
  <si>
    <t>Avoid 'adults only,' 'singles only,' 'perfect for singles,' 'no children,' and 'couples only.'</t>
  </si>
  <si>
    <t>No family-status limits.</t>
  </si>
  <si>
    <t>PROFESSOR REAL ESTATE AI.pdf pp. 7, 12</t>
  </si>
  <si>
    <t>Fair Housing Act exemptions</t>
  </si>
  <si>
    <t>Some owner-occupied buildings with no more than four units, certain single-family housing without a broker, and private clubs/organizations may be exempt from parts of the act.</t>
  </si>
  <si>
    <t>Real estate license holders must still comply; advertising restrictions still apply.</t>
  </si>
  <si>
    <t>Exemptions do not excuse discriminatory ads.</t>
  </si>
  <si>
    <t>PROFESSOR REAL ESTATE AI.pdf pp. 5, 10, 14</t>
  </si>
  <si>
    <t>Prohibited sale/rental conduct</t>
  </si>
  <si>
    <t>Refusing to sell/rent/negotiate, making housing unavailable, denying availability, setting different terms, or providing different services based on protected class are prohibited.</t>
  </si>
  <si>
    <t>Look for different treatment or falsely saying property is unavailable.</t>
  </si>
  <si>
    <t>Same terms, same access.</t>
  </si>
  <si>
    <t>PROFESSOR REAL ESTATE AI.pdf pp. 4-5, 10-15</t>
  </si>
  <si>
    <t>Prohibited mortgage lending conduct</t>
  </si>
  <si>
    <t>Lenders may not refuse loans, deny loan information, impose different terms, discriminate in appraising, refuse to purchase a loan, or set different loan purchase terms based on protected class.</t>
  </si>
  <si>
    <t>Questions may involve different rates, points, fees, appraisals, or refusing loan information.</t>
  </si>
  <si>
    <t>Fair housing applies to lending too.</t>
  </si>
  <si>
    <t>PROFESSOR REAL ESTATE AI.pdf pp. 5, 11, 15</t>
  </si>
  <si>
    <t>Threat/coerce/intimidate/interfere</t>
  </si>
  <si>
    <t>It is illegal to threaten, coerce, intimidate, or interfere with anyone exercising fair housing rights or helping others exercise those rights.</t>
  </si>
  <si>
    <t>Triggered by retaliation or interference with a fair housing complaint/right.</t>
  </si>
  <si>
    <t>Do not interfere with rights.</t>
  </si>
  <si>
    <t>PROFESSOR REAL ESTATE AI.pdf pp. 11, 15</t>
  </si>
  <si>
    <t>Disability definition</t>
  </si>
  <si>
    <t>A person is disabled if a condition substantially limits at least one major life activity, has a record of such disability, or is regarded as having such disability.</t>
  </si>
  <si>
    <t>Includes physical and mental disabilities; illegal drug current use/direct threat can be excluded.</t>
  </si>
  <si>
    <t>Disability = substantial limitation/record/regarded as.</t>
  </si>
  <si>
    <t>PROFESSOR REAL ESTATE AI.pdf pp. 17-18</t>
  </si>
  <si>
    <t>Reasonable modification</t>
  </si>
  <si>
    <t>A landlord may not refuse a tenant's reasonable physical modifications to a dwelling or common area at the tenant's expense when needed for disability access.</t>
  </si>
  <si>
    <t>Landlord may require restoration when reasonable.</t>
  </si>
  <si>
    <t>Modification = physical change, tenant pays.</t>
  </si>
  <si>
    <t>PROFESSOR REAL ESTATE AI.pdf p. 18</t>
  </si>
  <si>
    <t>Reasonable accommodation</t>
  </si>
  <si>
    <t>A landlord must make reasonable changes in rules, policies, practices, or services when necessary for a disabled person to use housing.</t>
  </si>
  <si>
    <t>No-pets policy must allow a guide/service animal; parking policy may need reserved space.</t>
  </si>
  <si>
    <t>Accommodation = rule/service change.</t>
  </si>
  <si>
    <t>New building accessibility</t>
  </si>
  <si>
    <t>Covered multifamily buildings first occupied after March 13, 1991 must meet accessibility standards for common areas, routes, controls, reinforced bathroom walls, kitchens, and bathrooms.</t>
  </si>
  <si>
    <t>If no elevator and four or more units, standards apply to ground-floor units.</t>
  </si>
  <si>
    <t>Post-3/13/1991 covered multifamily = accessible.</t>
  </si>
  <si>
    <t>PROFESSOR REAL ESTATE AI.pdf pp. 19-20</t>
  </si>
  <si>
    <t>Protection applies to families with children under 18, pregnant women, and people securing legal custody of children under 18.</t>
  </si>
  <si>
    <t>Older-person housing is a key exemption.</t>
  </si>
  <si>
    <t>Familial = children under 18 + pregnancy/custody.</t>
  </si>
  <si>
    <t>PROFESSOR REAL ESTATE AI.pdf pp. 20-21</t>
  </si>
  <si>
    <t>Housing for older persons</t>
  </si>
  <si>
    <t>Familial status exemption may apply to housing occupied solely by persons 62 or older or at least one person 55 or older in at least 80% of occupied units with qualifying policy.</t>
  </si>
  <si>
    <t>Questions test 62+ and 55+/80% rules.</t>
  </si>
  <si>
    <t>Older housing exemption: 62+ or 55+/80%.</t>
  </si>
  <si>
    <t>VAMA</t>
  </si>
  <si>
    <t>Voluntary Affirmative Marketing Agreement negotiated between HUD and national housing-industry associations to promote equal housing opportunities.</t>
  </si>
  <si>
    <t>May be listed as VAMA or voluntary compliance with civil rights laws.</t>
  </si>
  <si>
    <t>VAMA = voluntary marketing agreement.</t>
  </si>
  <si>
    <t>PROFESSOR REAL ESTATE AI.pdf pp. 2, 19</t>
  </si>
  <si>
    <t>Fair housing complaint options</t>
  </si>
  <si>
    <t>A discrimination complaint may be filed with the Texas Workforce Commission Civil Rights Division, HUD, courts, or the U.S. Attorney General.</t>
  </si>
  <si>
    <t>Burden of proof lies with person filing complaint; complaint should be filed timely.</t>
  </si>
  <si>
    <t>HUD/TWC/courts/AG.</t>
  </si>
  <si>
    <t>PROFESSOR REAL ESTATE AI.pdf pp. 21-22</t>
  </si>
  <si>
    <t>HUD complaint process</t>
  </si>
  <si>
    <t>HUD notifies the alleged violator, permits an answer, investigates, decides whether reasonable cause exists, and notifies complainant if investigation cannot finish within 100 days.</t>
  </si>
  <si>
    <t>100-day investigation notice is commonly tested.</t>
  </si>
  <si>
    <t>HUD investigates and tries to conciliate.</t>
  </si>
  <si>
    <t>HUD attempts an agreement with the respondent; if signed, HUD takes no further action unless the agreement is breached.</t>
  </si>
  <si>
    <t>If breached, HUD recommends Attorney General suit.</t>
  </si>
  <si>
    <t>Conciliation = settlement attempt.</t>
  </si>
  <si>
    <t>Administrative hearing</t>
  </si>
  <si>
    <t>If the case goes to an administrative hearing, HUD attorneys litigate and an Administrative Law Judge considers the evidence.</t>
  </si>
  <si>
    <t>ALJ may order actual damages, injunctive relief, civil penalties, attorney fees/costs.</t>
  </si>
  <si>
    <t>Administrative = HUD attorneys + ALJ.</t>
  </si>
  <si>
    <t>PROFESSOR REAL ESTATE AI.pdf p. 22</t>
  </si>
  <si>
    <t>Federal District Court option</t>
  </si>
  <si>
    <t>Either party may choose Federal District Court; the Attorney General files and litigates on behalf of the complainant.</t>
  </si>
  <si>
    <t>Court can award actual damages, attorney fees/costs, and punitive damages.</t>
  </si>
  <si>
    <t>Federal court = AG litigates.</t>
  </si>
  <si>
    <t>Private litigation</t>
  </si>
  <si>
    <t>A complainant may file suit in federal or state court within two years of an alleged violation.</t>
  </si>
  <si>
    <t>Court may appoint attorney if complainant cannot afford one.</t>
  </si>
  <si>
    <t>Private litigation = complainant files suit.</t>
  </si>
  <si>
    <t>Texas passed a fair housing law in 1989 that closely parallels federal law and recognizes the same protected classes as federal fair housing.</t>
  </si>
  <si>
    <t>Texas law does not list sexual orientation or gender identity, but some cities have local ordinances.</t>
  </si>
  <si>
    <t>Texas FHA = 1989.</t>
  </si>
  <si>
    <t>PROFESSOR REAL ESTATE AI.pdf p. 23</t>
  </si>
  <si>
    <t>Consumer Financial Protection Bureau (CFPB)</t>
  </si>
  <si>
    <t>Federal agency with authority to examine and enforce consumer protection regulations for mortgage-related businesses, large non-bank financial companies, and banks/credit unions with assets over $10 billion.</t>
  </si>
  <si>
    <t>Questions often ask which agency has this enforcement authority.</t>
  </si>
  <si>
    <t>CFPB = consumer finance/mortgage regulator.</t>
  </si>
  <si>
    <t>Equal Credit Opportunity Act (ECOA)</t>
  </si>
  <si>
    <t>Prohibits lending discrimination based on race, color, religion, national origin, sex, marital status, age, or receipt of public-assistance income.</t>
  </si>
  <si>
    <t>License holders may be arrangers of credit and covered by the act.</t>
  </si>
  <si>
    <t>ECOA = credit discrimination law.</t>
  </si>
  <si>
    <t>PROFESSOR REAL ESTATE AI.pdf p. 25</t>
  </si>
  <si>
    <t>Fair Credit Reporting Act (FCRA)</t>
  </si>
  <si>
    <t>Protects consumers from unfair credit reporting practices and protects credit privacy.</t>
  </si>
  <si>
    <t>Users of consumer reports must give adverse action notices in credit, insurance, employment, and increased-charge situations.</t>
  </si>
  <si>
    <t>FCRA = credit report privacy/accuracy/adverse action.</t>
  </si>
  <si>
    <t>PROFESSOR REAL ESTATE AI.pdf pp. 25-27</t>
  </si>
  <si>
    <t>Community Reinvestment Act (CRA)</t>
  </si>
  <si>
    <t>Requires federally regulated lenders to describe the geographic market they serve and reinvest deposits in that area when practical.</t>
  </si>
  <si>
    <t>Often phrased as banks serving the needs of their chartered communities.</t>
  </si>
  <si>
    <t>CRA = reinvest in community.</t>
  </si>
  <si>
    <t>PROFESSOR REAL ESTATE AI.pdf p. 2</t>
  </si>
  <si>
    <t>Exists when one person, the agent, acts for or on behalf of another person, the principal.</t>
  </si>
  <si>
    <t>Principal gives power; agent acts.</t>
  </si>
  <si>
    <t>Agency = principal authorizes agent.</t>
  </si>
  <si>
    <t>PROFESSOR REAL ESTATE AI.pdf pp. 27, 31-32</t>
  </si>
  <si>
    <t>The person for whom the agent works; also called the client in a real estate agency relationship.</t>
  </si>
  <si>
    <t>Client = principal.</t>
  </si>
  <si>
    <t>PROFESSOR REAL ESTATE AI.pdf pp. 29-31</t>
  </si>
  <si>
    <t>A buyer or seller who is not represented by the license holder as a client.</t>
  </si>
  <si>
    <t>Receives limited brokerage services without agency relationship.</t>
  </si>
  <si>
    <t>Customer = not represented.</t>
  </si>
  <si>
    <t>PROFESSOR REAL ESTATE AI.pdf pp. 29, 67-70</t>
  </si>
  <si>
    <t>Fiduciary relationship</t>
  </si>
  <si>
    <t>Relationship based on trust in which the agent places the client's interests first while treating others honestly.</t>
  </si>
  <si>
    <t>Triggered by principal/client representation.</t>
  </si>
  <si>
    <t>Fiduciary = trust + loyalty.</t>
  </si>
  <si>
    <t>PROFESSOR REAL ESTATE AI.pdf pp. 27, 31-32, 70</t>
  </si>
  <si>
    <t>OLD CAR duties</t>
  </si>
  <si>
    <t>Agent duties to principal: Obedience, Loyalty, Disclosure, Confidentiality, Accounting, Reasonable Care.</t>
  </si>
  <si>
    <t>Exam scenarios ask which duty was fulfilled or violated.</t>
  </si>
  <si>
    <t>PROFESSOR REAL ESTATE AI.pdf p. 36</t>
  </si>
  <si>
    <t>Adhere to the client's lawful instructions.</t>
  </si>
  <si>
    <t>Client instructs a lower listing price and agent follows.</t>
  </si>
  <si>
    <t>Lawful instructions.</t>
  </si>
  <si>
    <t>PROFESSOR REAL ESTATE AI.pdf pp. 36, 39</t>
  </si>
  <si>
    <t>Place the client's best interests first.</t>
  </si>
  <si>
    <t>Agent must not put self or third party above client.</t>
  </si>
  <si>
    <t>Reveal all known facts and give advice/opinions to the client.</t>
  </si>
  <si>
    <t>Agent should point out material market/property information to client.</t>
  </si>
  <si>
    <t>Tell your client what matters.</t>
  </si>
  <si>
    <t>PROFESSOR REAL ESTATE AI.pdf pp. 36, 40</t>
  </si>
  <si>
    <t>Protect the client's private information, including negotiating positions and acceptable terms.</t>
  </si>
  <si>
    <t>Disclosing minimum price to buyer violates confidentiality.</t>
  </si>
  <si>
    <t>Keep client's secrets.</t>
  </si>
  <si>
    <t>PROFESSOR REAL ESTATE AI.pdf pp. 36, 39-40</t>
  </si>
  <si>
    <t>Handle funds with care and avoid commingling or conversion.</t>
  </si>
  <si>
    <t>Questions involve earnest money, trust funds, or client money.</t>
  </si>
  <si>
    <t>Money in, money accounted for.</t>
  </si>
  <si>
    <t>Protect the property and legal interests of the client using professional skill and care.</t>
  </si>
  <si>
    <t>Exam wording references competence, care, property/legal interests.</t>
  </si>
  <si>
    <t>Professional care.</t>
  </si>
  <si>
    <t>Agent has full authority to conduct business and bind the client in the same way the client could.</t>
  </si>
  <si>
    <t>Very rare in real estate; similar to unlimited power of attorney.</t>
  </si>
  <si>
    <t>Universal = almost unlimited.</t>
  </si>
  <si>
    <t>PROFESSOR REAL ESTATE AI.pdf p. 32</t>
  </si>
  <si>
    <t>Special agency / Limited agency</t>
  </si>
  <si>
    <t>Most limited agency relationship; agent performs limited duties and cannot bind the principal.</t>
  </si>
  <si>
    <t>Listing agreement and buyer/tenant representation agreement create special agency.</t>
  </si>
  <si>
    <t>Special = limited transaction authority.</t>
  </si>
  <si>
    <t>PROFESSOR REAL ESTATE AI.pdf pp. 28, 32, 66-68</t>
  </si>
  <si>
    <t>Ongoing authority to handle a particular business or activity; may bind the principal within that scope.</t>
  </si>
  <si>
    <t>Property manager and broker-associate relationship are examples.</t>
  </si>
  <si>
    <t>PROFESSOR REAL ESTATE AI.pdf pp. 30, 33-35</t>
  </si>
  <si>
    <t>Broker responsibility for associates</t>
  </si>
  <si>
    <t>Broker is responsible for associates' compliance with fair housing, promulgated forms, TRELA, advertising, and disclosure regulations.</t>
  </si>
  <si>
    <t>Broker is not responsible for agent's timely license renewal, CE, or benefits.</t>
  </si>
  <si>
    <t>Broker supervises brokerage compliance.</t>
  </si>
  <si>
    <t>PROFESSOR REAL ESTATE AI.pdf pp. 34-35</t>
  </si>
  <si>
    <t>Authority created by written agreement or specific oral instructions from the principal.</t>
  </si>
  <si>
    <t>Listing agreement and buyer representation are common examples.</t>
  </si>
  <si>
    <t>Express = stated.</t>
  </si>
  <si>
    <t>PROFESSOR REAL ESTATE AI.pdf pp. 30, 37-40</t>
  </si>
  <si>
    <t>Ostensible agency</t>
  </si>
  <si>
    <t>Agency that appears to exist because conduct causes another person to reasonably assume a person is an agent.</t>
  </si>
  <si>
    <t>Key example: acting like you have authority to let a worker into another person's property.</t>
  </si>
  <si>
    <t>Ostensible = apparent from conduct.</t>
  </si>
  <si>
    <t>PROFESSOR REAL ESTATE AI.pdf p. 38</t>
  </si>
  <si>
    <t>Agency created after the fact when principal accepts an unauthorized act by the agent.</t>
  </si>
  <si>
    <t>Seller accepts rent after agent allowed early move-in without authority.</t>
  </si>
  <si>
    <t>Ratification = later approval.</t>
  </si>
  <si>
    <t>Occurs when a license holder owns or is interested in buying the property and must disclose the dual role.</t>
  </si>
  <si>
    <t>License holder selling own house must disclose license status.</t>
  </si>
  <si>
    <t>Own interest must be disclosed.</t>
  </si>
  <si>
    <t>PROFESSOR REAL ESTATE AI.pdf pp. 38-39</t>
  </si>
  <si>
    <t>Principal duties to agent</t>
  </si>
  <si>
    <t>Principal owes compensation, reimbursement, indemnification, and performance under the agency agreement.</t>
  </si>
  <si>
    <t>Seller owes commission when broker performs; authorized expenses may be reimbursed.</t>
  </si>
  <si>
    <t>Principal duties = pay, reimburse, protect, perform.</t>
  </si>
  <si>
    <t>PROFESSOR REAL ESTATE AI.pdf pp. 36-37</t>
  </si>
  <si>
    <t>Single-agency broker</t>
  </si>
  <si>
    <t>Broker represents only one client in a transaction and will not represent both buyer and seller in the same transaction.</t>
  </si>
  <si>
    <t>If buyer wants in-house listing, broker may require one party to get different representation or remain unrepresented.</t>
  </si>
  <si>
    <t>Single agency = one side only.</t>
  </si>
  <si>
    <t>PROFESSOR REAL ESTATE AI.pdf pp. 40-41</t>
  </si>
  <si>
    <t>Transactional broker</t>
  </si>
  <si>
    <t>Facilitates buyer and seller reaching an agreement without representing either party.</t>
  </si>
  <si>
    <t>Also described as transaction coordinator, finder, or middleman.</t>
  </si>
  <si>
    <t>Facilitator, not agent.</t>
  </si>
  <si>
    <t>PROFESSOR REAL ESTATE AI.pdf pp. 29, 40-41</t>
  </si>
  <si>
    <t>Dual agency broker</t>
  </si>
  <si>
    <t>Broker represents both buyer and seller with written permission; in Texas this must be done through intermediary rules.</t>
  </si>
  <si>
    <t>Texas exam answer is usually intermediary, not common-law dual agency.</t>
  </si>
  <si>
    <t>Texas uses intermediary.</t>
  </si>
  <si>
    <t>PROFESSOR REAL ESTATE AI.pdf pp. 31, 40-41</t>
  </si>
  <si>
    <t>Listing side</t>
  </si>
  <si>
    <t>Seller side of the transaction when seller retains broker services.</t>
  </si>
  <si>
    <t>Transaction always has listing and selling sides.</t>
  </si>
  <si>
    <t>Listing side = seller side.</t>
  </si>
  <si>
    <t>PROFESSOR REAL ESTATE AI.pdf pp. 28, 42</t>
  </si>
  <si>
    <t>Selling side</t>
  </si>
  <si>
    <t>Buyer side of the transaction; agent working with buyer is called the selling agent.</t>
  </si>
  <si>
    <t>Do not confuse selling side with seller side.</t>
  </si>
  <si>
    <t>Selling side = buyer side.</t>
  </si>
  <si>
    <t>PROFESSOR REAL ESTATE AI.pdf pp. 29, 42</t>
  </si>
  <si>
    <t>Property listed by one firm and sold by another firm.</t>
  </si>
  <si>
    <t>Cooperating broker is the other broker in the transaction.</t>
  </si>
  <si>
    <t>Co-op = two brokerage firms.</t>
  </si>
  <si>
    <t>PROFESSOR REAL ESTATE AI.pdf pp. 31, 42-44, 68-70</t>
  </si>
  <si>
    <t>A single brokerage firm sells one of its own listings; the broker is on both listing and selling sides.</t>
  </si>
  <si>
    <t>Creates potential conflict when both buyer and seller are clients.</t>
  </si>
  <si>
    <t>In-house = same firm both sides.</t>
  </si>
  <si>
    <t>PROFESSOR REAL ESTATE AI.pdf pp. 30, 47-50</t>
  </si>
  <si>
    <t>Texas process allowing a broker to negotiate between both parties and act fairly without favoring one party over the other.</t>
  </si>
  <si>
    <t>Requires written consent of both parties and anticipated compensation source.</t>
  </si>
  <si>
    <t>Intermediary = Texas solution for both sides.</t>
  </si>
  <si>
    <t>PROFESSOR REAL ESTATE AI.pdf pp. 31, 49-50</t>
  </si>
  <si>
    <t>Intermediary with appointments</t>
  </si>
  <si>
    <t>Broker appoints one associate to seller and one associate to buyer; appointed associates may give advice and opinions to their respective parties.</t>
  </si>
  <si>
    <t>Two agents in same firm usually means with appointments; appointments must be in writing.</t>
  </si>
  <si>
    <t>Two agents = with appointments.</t>
  </si>
  <si>
    <t>PROFESSOR REAL ESTATE AI.pdf pp. 49-50</t>
  </si>
  <si>
    <t>One agent is involved, often selling own listing to own buyer; agent may not give advice or opinions to either party.</t>
  </si>
  <si>
    <t>Parties must be notified in writing.</t>
  </si>
  <si>
    <t>One agent = no advice/opinions.</t>
  </si>
  <si>
    <t>IABS</t>
  </si>
  <si>
    <t>Information About Brokerage Services form gives consumers information about brokerage relationships.</t>
  </si>
  <si>
    <t>Must be provided at first substantive discussion of a possible transaction.</t>
  </si>
  <si>
    <t>IABS at first substantive discussion.</t>
  </si>
  <si>
    <t>PROFESSOR REAL ESTATE AI.pdf pp. 28, 51-52</t>
  </si>
  <si>
    <t>Substantive discussion</t>
  </si>
  <si>
    <t>A discussion that includes information not easily accessed by public records; can happen by phone, email, or other communication.</t>
  </si>
  <si>
    <t>IABS required when discussion becomes substantive, not necessarily at first face-to-face meeting.</t>
  </si>
  <si>
    <t>Substantive = beyond public facts.</t>
  </si>
  <si>
    <t>PROFESSOR REAL ESTATE AI.pdf p. 51</t>
  </si>
  <si>
    <t>IABS exceptions</t>
  </si>
  <si>
    <t>IABS is not required for a residential lease of not more than one year with no sale considered, when meeting with a party represented by another license holder, or at an open house about that property.</t>
  </si>
  <si>
    <t>Exam asks when IABS is not required.</t>
  </si>
  <si>
    <t>Lease &lt;=1 year/no sale; represented party; open house.</t>
  </si>
  <si>
    <t>PROFESSOR REAL ESTATE AI.pdf p. 52</t>
  </si>
  <si>
    <t>Disclosure of representation</t>
  </si>
  <si>
    <t>A license holder must disclose who they represent to another party at the first contact or at least before first substantive discussion.</t>
  </si>
  <si>
    <t>Be clear whether you represent buyer, seller, landlord, or tenant.</t>
  </si>
  <si>
    <t>Disclose representation early.</t>
  </si>
  <si>
    <t>PROFESSOR REAL ESTATE AI.pdf pp. 52-53</t>
  </si>
  <si>
    <t>Unrepresented buyer - showing only</t>
  </si>
  <si>
    <t>An agent may show property to an unrepresented buyer only under strict conditions and without advice, opinions, recommendations, negotiation, or extra brokerage services.</t>
  </si>
  <si>
    <t>Must disclose whom the agent represents and provide IABS.</t>
  </si>
  <si>
    <t>Unrepresented buyer gets facts/access, not advice.</t>
  </si>
  <si>
    <t>PROFESSOR REAL ESTATE AI.pdf pp. 44-45</t>
  </si>
  <si>
    <t>Unlicensed assistant allowed activities</t>
  </si>
  <si>
    <t>May handle clerical tasks, type contracts, prepare reports/CMAs, file/copy/organize information, and act as an on-site apartment manager.</t>
  </si>
  <si>
    <t>Cannot engage in brokerage acts requiring a license.</t>
  </si>
  <si>
    <t>Clerical yes, brokerage no.</t>
  </si>
  <si>
    <t>PROFESSOR REAL ESTATE AI.pdf pp. 58-59</t>
  </si>
  <si>
    <t>Unlicensed assistant prohibited activities</t>
  </si>
  <si>
    <t>May not host an open house, show property, unlock a door for a prospect, telemarket for listings, or perform licensed activity.</t>
  </si>
  <si>
    <t>Showing/unlocking/telemarketing for listings are license-required activities.</t>
  </si>
  <si>
    <t>No public brokerage activity.</t>
  </si>
  <si>
    <t>PROFESSOR REAL ESTATE AI.pdf p. 59</t>
  </si>
  <si>
    <t>Independent contractors</t>
  </si>
  <si>
    <t>Most real estate license holders are independent contractors rather than employees of the broker, engaged in a principal-agent relationship.</t>
  </si>
  <si>
    <t>Often appears in brokerage business employment questions.</t>
  </si>
  <si>
    <t>License holders usually independent contractors.</t>
  </si>
  <si>
    <t>PROFESSOR REAL ESTATE AI.pdf pp. 30, 62-64</t>
  </si>
  <si>
    <t>Deceptive Trade Practices Act (DTPA)</t>
  </si>
  <si>
    <t>Texas law passed in 1973 that allows an aggrieved consumer to sue a seller/provider of goods or services for damages for deceptive or unfair acts.</t>
  </si>
  <si>
    <t>Real estate brokerage is a service; house sale may be treated as a good under DTPA.</t>
  </si>
  <si>
    <t>DTPA = deceptive/unfair consumer lawsuit.</t>
  </si>
  <si>
    <t>PROFESSOR REAL ESTATE AI.pdf pp. 31, 60, 67-70</t>
  </si>
  <si>
    <t>Goods under DTPA</t>
  </si>
  <si>
    <t>Tangible chattels; in DTPA context, real property is tangible when purchased or leased and the sale of a house is considered a good.</t>
  </si>
  <si>
    <t>Questions ask what goods are or whether house sale is a good.</t>
  </si>
  <si>
    <t>Goods = tangible; house sale counts.</t>
  </si>
  <si>
    <t>PROFESSOR REAL ESTATE AI.pdf pp. 60, 65-66</t>
  </si>
  <si>
    <t>Services under DTPA</t>
  </si>
  <si>
    <t>Work, labor, or repair of goods; brokerage is a service.</t>
  </si>
  <si>
    <t>Connects real estate license holders to DTPA exposure.</t>
  </si>
  <si>
    <t>Brokerage = service.</t>
  </si>
  <si>
    <t>PROFESSOR REAL ESTATE AI.pdf p. 60</t>
  </si>
  <si>
    <t>Consumer under DTPA</t>
  </si>
  <si>
    <t>An individual, corporation, partnership, or government source seeking to acquire or purchase goods or services.</t>
  </si>
  <si>
    <t>A buyer or purchaser of brokerage services can be a consumer.</t>
  </si>
  <si>
    <t>Consumer seeks goods/services.</t>
  </si>
  <si>
    <t>Producing cause</t>
  </si>
  <si>
    <t>Requires proof that the act or omission was a significant factor in bringing about injury.</t>
  </si>
  <si>
    <t>DTPA claim requires connection between act/omission and injury.</t>
  </si>
  <si>
    <t>Producing cause = significant factor.</t>
  </si>
  <si>
    <t>Knowingly</t>
  </si>
  <si>
    <t>Actual awareness of a falsity, deception, or unfairness of an act.</t>
  </si>
  <si>
    <t>Can support enhanced damages in DTPA questions.</t>
  </si>
  <si>
    <t>Knowingly = actual awareness.</t>
  </si>
  <si>
    <t>PROFESSOR REAL ESTATE AI.pdf pp. 60, 65</t>
  </si>
  <si>
    <t>Intentionally</t>
  </si>
  <si>
    <t>Actual awareness or flagrant disregard of prudent and fair business practices.</t>
  </si>
  <si>
    <t>Can support treble damages under DTPA.</t>
  </si>
  <si>
    <t>Intentionally = actual awareness/flagrant disregard.</t>
  </si>
  <si>
    <t>PROFESSOR REAL ESTATE AI.pdf pp. 60, 63-65</t>
  </si>
  <si>
    <t>Seller's Disclosure Notice</t>
  </si>
  <si>
    <t>The seller completes the notice to disclose facts and defects concerning the property; the agent should not fill it out for the seller.</t>
  </si>
  <si>
    <t>Good defense tool in a DTPA lawsuit.</t>
  </si>
  <si>
    <t>Seller fills it out; agent delivers it.</t>
  </si>
  <si>
    <t>PROFESSOR REAL ESTATE AI.pdf pp. 60-62</t>
  </si>
  <si>
    <t>Inspection best practice</t>
  </si>
  <si>
    <t>Recommend an inspection, give a list of at least three inspectors, let buyer choose, have inspector speak directly with buyer, and build a paper trail.</t>
  </si>
  <si>
    <t>Do not interpret inspection report as the agent-middleman.</t>
  </si>
  <si>
    <t>Recommend, document, avoid personal opinions.</t>
  </si>
  <si>
    <t>PROFESSOR REAL ESTATE AI.pdf p. 61</t>
  </si>
  <si>
    <t>Whole number / integer</t>
  </si>
  <si>
    <t>Any number without a fraction.</t>
  </si>
  <si>
    <t>Used in math fundamentals before fractions and percentages.</t>
  </si>
  <si>
    <t>Whole number = no fraction.</t>
  </si>
  <si>
    <t>PROFESSOR REAL ESTATE AI.pdf pp. 71, 76</t>
  </si>
  <si>
    <t>Fraction</t>
  </si>
  <si>
    <t>A numerical quantity showing one number divided by another; numerator over denominator.</t>
  </si>
  <si>
    <t>Convert fractions to decimals by dividing numerator by denominator.</t>
  </si>
  <si>
    <t>Fraction = numerator / denominator.</t>
  </si>
  <si>
    <t>PROFESSOR REAL ESTATE AI.pdf pp. 71, 76-78</t>
  </si>
  <si>
    <t>Numerator</t>
  </si>
  <si>
    <t>The number above the line in a fraction showing how many parts are taken.</t>
  </si>
  <si>
    <t>In 1/4, numerator is 1.</t>
  </si>
  <si>
    <t>Top number.</t>
  </si>
  <si>
    <t>PROFESSOR REAL ESTATE AI.pdf p. 77</t>
  </si>
  <si>
    <t>Denominator</t>
  </si>
  <si>
    <t>The number below the line in a fraction showing total equal parts.</t>
  </si>
  <si>
    <t>In 1/4, denominator is 4.</t>
  </si>
  <si>
    <t>Bottom number.</t>
  </si>
  <si>
    <t>PROFESSOR REAL ESTATE AI.pdf p. 76</t>
  </si>
  <si>
    <t>Proper fraction</t>
  </si>
  <si>
    <t>A fraction with numerator less than denominator and value less than one.</t>
  </si>
  <si>
    <t>Examples include 1/2, 1/4, 3/4, 5/8.</t>
  </si>
  <si>
    <t>Proper = part of whole.</t>
  </si>
  <si>
    <t>PROFESSOR REAL ESTATE AI.pdf p. 78</t>
  </si>
  <si>
    <t>Improper fraction</t>
  </si>
  <si>
    <t>A fraction with numerator equal to or greater than denominator.</t>
  </si>
  <si>
    <t>Can be converted to a mixed number.</t>
  </si>
  <si>
    <t>Improper &gt;= 1.</t>
  </si>
  <si>
    <t>PROFESSOR REAL ESTATE AI.pdf p. 78-79</t>
  </si>
  <si>
    <t>Mixed number</t>
  </si>
  <si>
    <t>A whole number coupled with a fraction.</t>
  </si>
  <si>
    <t>Example: 1 3/4.</t>
  </si>
  <si>
    <t>Mixed = whole + fraction.</t>
  </si>
  <si>
    <t>PROFESSOR REAL ESTATE AI.pdf p. 79</t>
  </si>
  <si>
    <t>Percentage</t>
  </si>
  <si>
    <t>Numerical expression with 100 assumed as denominator; a part per hundred.</t>
  </si>
  <si>
    <t>Commissions, interest rates, appreciation rates, and taxes are common percentage problems.</t>
  </si>
  <si>
    <t>Percent = per 100.</t>
  </si>
  <si>
    <t>PROFESSOR REAL ESTATE AI.pdf pp. 79-80</t>
  </si>
  <si>
    <t>T Formula</t>
  </si>
  <si>
    <t>Percentage problems contain Total, Percentage, and Part; cover the unknown to determine whether to multiply or divide.</t>
  </si>
  <si>
    <t>Part = Total x Percentage; Percentage = Part / Total; Total = Part / Percentage.</t>
  </si>
  <si>
    <t>T formula solves percent problems.</t>
  </si>
  <si>
    <t>PROFESSOR REAL ESTATE AI.pdf pp. 80-81</t>
  </si>
  <si>
    <t>A percentage of sales price or a flat fee broker receives for selling or leasing real estate.</t>
  </si>
  <si>
    <t>Use sale price x commission rate or total commission / sale price.</t>
  </si>
  <si>
    <t>Commission = Part of sale price.</t>
  </si>
  <si>
    <t>PROFESSOR REAL ESTATE AI.pdf pp. 71, 80-81</t>
  </si>
  <si>
    <t>Profit</t>
  </si>
  <si>
    <t>Net revenue minus net costs.</t>
  </si>
  <si>
    <t>Do not confuse sales price increase with true profit if transaction costs exist.</t>
  </si>
  <si>
    <t>Profit = revenue - costs.</t>
  </si>
  <si>
    <t>PROFESSOR REAL ESTATE AI.pdf p. 81</t>
  </si>
  <si>
    <t>Seller's net</t>
  </si>
  <si>
    <t>Amount seller receives after paying payoff, closing costs, repairs, commissions, and other selling expenses.</t>
  </si>
  <si>
    <t>For target net price: required sale price = (desired net + payoff + costs) / (1 - commission rate).</t>
  </si>
  <si>
    <t>Net target must absorb commission.</t>
  </si>
  <si>
    <t>PROFESSOR REAL ESTATE AI.pdf pp. 81-82</t>
  </si>
  <si>
    <t>Property taxes</t>
  </si>
  <si>
    <t>Annual property taxes are usually assessed value x tax rate when expressed as a percentage.</t>
  </si>
  <si>
    <t>Example: $459,000 x 1.7% = $7,803.</t>
  </si>
  <si>
    <t>Tax = assessed value x rate.</t>
  </si>
  <si>
    <t>PROFESSOR REAL ESTATE AI.pdf p. 82</t>
  </si>
  <si>
    <t>Interest in arrears</t>
  </si>
  <si>
    <t>Loan interest is paid after it accrues; monthly payment due covers interest from the prior period.</t>
  </si>
  <si>
    <t>Payoff at closing may include daily interest through closing day.</t>
  </si>
  <si>
    <t>Interest paid behind.</t>
  </si>
  <si>
    <t>PROFESSOR REAL ESTATE AI.pdf pp. 82-85</t>
  </si>
  <si>
    <t>Daily interest</t>
  </si>
  <si>
    <t>Daily interest = loan balance x annual interest rate / 365.</t>
  </si>
  <si>
    <t>Multiply daily interest by number of days owed; do not round until the end.</t>
  </si>
  <si>
    <t>Balance x rate / 365 x days.</t>
  </si>
  <si>
    <t>Area of rectangle/square</t>
  </si>
  <si>
    <t>Area = length x width; answer is in square units.</t>
  </si>
  <si>
    <t>Used for land/building area.</t>
  </si>
  <si>
    <t>L x W.</t>
  </si>
  <si>
    <t>PROFESSOR REAL ESTATE AI.pdf pp. 85-86, 89</t>
  </si>
  <si>
    <t>Area of triangle</t>
  </si>
  <si>
    <t>Area = base x height / 2; answer is in square units.</t>
  </si>
  <si>
    <t>Can appear as 1/2 L x W.</t>
  </si>
  <si>
    <t>Triangle = half rectangle.</t>
  </si>
  <si>
    <t>PROFESSOR REAL ESTATE AI.pdf pp. 86, 89</t>
  </si>
  <si>
    <t>Acreage</t>
  </si>
  <si>
    <t>One acre equals 43,560 square feet; acres = square feet / 43,560.</t>
  </si>
  <si>
    <t>Square feet to acres is a common exam conversion.</t>
  </si>
  <si>
    <t>43,560 sq ft = 1 acre.</t>
  </si>
  <si>
    <t>PROFESSOR REAL ESTATE AI.pdf pp. 88-89</t>
  </si>
  <si>
    <t>Front foot pricing</t>
  </si>
  <si>
    <t>When frontage is quoted, first dimension is generally frontage on an access road; value = front feet x price per front foot.</t>
  </si>
  <si>
    <t>Properties with high-value frontage may be priced per front foot instead of per acre.</t>
  </si>
  <si>
    <t>Frontage is first dimension.</t>
  </si>
  <si>
    <t>PROFESSOR REAL ESTATE AI.pdf p. 88</t>
  </si>
  <si>
    <t>Volume</t>
  </si>
  <si>
    <t>Volume = length x width x height; answer is in cubic units.</t>
  </si>
  <si>
    <t>Used for warehouses or cubic measurements.</t>
  </si>
  <si>
    <t>L x W x H.</t>
  </si>
  <si>
    <t>PROFESSOR REAL ESTATE AI.pdf p. 89</t>
  </si>
  <si>
    <t>Unit conversions</t>
  </si>
  <si>
    <t>3 feet = 1 yard; 9 sq ft = 1 sq yd; 5,280 ft = 1 mile; 43,560 sq ft = 1 acre; 27 cu ft = 1 cu yd.</t>
  </si>
  <si>
    <t>Conversions may be needed before final math answer.</t>
  </si>
  <si>
    <t>Convert units first.</t>
  </si>
  <si>
    <t>Proration</t>
  </si>
  <si>
    <t>Division of an expense between buyer and seller at closing; use a 365-day year unless stated otherwise.</t>
  </si>
  <si>
    <t>Seller owes unpaid items through day of closing; buyer owes prepaid items after closing through year end.</t>
  </si>
  <si>
    <t>Proration = split expense by days.</t>
  </si>
  <si>
    <t>PROFESSOR REAL ESTATE AI.pdf pp. 89-90</t>
  </si>
  <si>
    <t>Tax proration example</t>
  </si>
  <si>
    <t>For closing September 15 with prior tax bill of $2,200, seller days owed Jan 1-Sept 15 = 258 days; $2,200/365 x 258 = $1,555.07.</t>
  </si>
  <si>
    <t>Do not round daily rate until final answer.</t>
  </si>
  <si>
    <t>Daily rate x days owed.</t>
  </si>
  <si>
    <t>PROFESSOR REAL ESTATE AI.pdf p. 90</t>
  </si>
  <si>
    <t>Discount point</t>
  </si>
  <si>
    <t>One point equals 1% of the loan amount.</t>
  </si>
  <si>
    <t>Always calculate points on the loan amount, not sale price, unless they are the same.</t>
  </si>
  <si>
    <t>1 point = 1% loan.</t>
  </si>
  <si>
    <t>PROFESSOR REAL ESTATE AI.pdf p. 71</t>
  </si>
  <si>
    <t>Professional Real Estate Math Calculators</t>
  </si>
  <si>
    <t>Blue cells are the only fillable inputs. Green cells contain locked formulas. This sheet is protected to prevent accidental formula changes.</t>
  </si>
  <si>
    <t>Legend</t>
  </si>
  <si>
    <t>Fillable input</t>
  </si>
  <si>
    <t>Locked formula output</t>
  </si>
  <si>
    <t>Exam rule / notes</t>
  </si>
  <si>
    <t>Charts and visual checks</t>
  </si>
  <si>
    <t>1) Amortization — Four-Step Method</t>
  </si>
  <si>
    <t>Payment Split Chart</t>
  </si>
  <si>
    <t>Inputs</t>
  </si>
  <si>
    <t>Value</t>
  </si>
  <si>
    <t>Calculations</t>
  </si>
  <si>
    <t>Formula Output</t>
  </si>
  <si>
    <t>Loan Balance</t>
  </si>
  <si>
    <t>Annual Interest</t>
  </si>
  <si>
    <t>Component</t>
  </si>
  <si>
    <t>Amount</t>
  </si>
  <si>
    <t>Annual Interest Rate</t>
  </si>
  <si>
    <t>Monthly Interest</t>
  </si>
  <si>
    <t>Interest Portion</t>
  </si>
  <si>
    <t>Monthly Payment</t>
  </si>
  <si>
    <t>Principal Applied</t>
  </si>
  <si>
    <t>Principal Portion</t>
  </si>
  <si>
    <t>New Balance</t>
  </si>
  <si>
    <t>Payment Split Check</t>
  </si>
  <si>
    <t>2) Discount Points</t>
  </si>
  <si>
    <t>Loan Amount</t>
  </si>
  <si>
    <t>Points Charged</t>
  </si>
  <si>
    <t>Points</t>
  </si>
  <si>
    <t>One Point Equals</t>
  </si>
  <si>
    <t>Exam Rule</t>
  </si>
  <si>
    <t>Points are calculated on the loan amount, not sales price.</t>
  </si>
  <si>
    <t>3) Compound Interest — Future Value and Present Value</t>
  </si>
  <si>
    <t>Future Value Inputs</t>
  </si>
  <si>
    <t>Future Value Result</t>
  </si>
  <si>
    <t>Present Value</t>
  </si>
  <si>
    <t>Future Value</t>
  </si>
  <si>
    <t>Annual Rate</t>
  </si>
  <si>
    <t>Years</t>
  </si>
  <si>
    <t>Present Value Inputs</t>
  </si>
  <si>
    <t>Present Value Result</t>
  </si>
  <si>
    <t>Qualifying Ratio Comparison Chart</t>
  </si>
  <si>
    <t>Limit</t>
  </si>
  <si>
    <t>Front Limit</t>
  </si>
  <si>
    <t>Back Housing Limit</t>
  </si>
  <si>
    <t>4) FHA UFMIP — Base Loan and Total Loan</t>
  </si>
  <si>
    <t>Sales Price</t>
  </si>
  <si>
    <t>Down Payment $</t>
  </si>
  <si>
    <t>Down Payment</t>
  </si>
  <si>
    <t>LTV %</t>
  </si>
  <si>
    <t>UFMIP Rate</t>
  </si>
  <si>
    <t>Total Loan Amount</t>
  </si>
  <si>
    <t>5) Qualifying Ratios — Max Housing Payment</t>
  </si>
  <si>
    <t>Annual Gross Income</t>
  </si>
  <si>
    <t>Monthly Gross Income</t>
  </si>
  <si>
    <t>Monthly Debts</t>
  </si>
  <si>
    <t>Front-Ratio Max Housing</t>
  </si>
  <si>
    <t>Back-Ratio Max Total Debt</t>
  </si>
  <si>
    <t>Back-Ratio Max Housing</t>
  </si>
  <si>
    <t>Binding Ratio</t>
  </si>
  <si>
    <t>Exam Notes — Locked</t>
  </si>
  <si>
    <t>Monthly interest = balance × annual rate ÷ 12. Principal = payment − monthly interest.</t>
  </si>
  <si>
    <t>1 point = 1% of the loan amount. Never calculate points on sales price unless the loan amount equals sales price.</t>
  </si>
  <si>
    <t>Base loan is after down payment. UFMIP is calculated on the base loan, then added to get total loan amount.</t>
  </si>
  <si>
    <t>Compute both front and back limits. The lower available housing payment is the answer.</t>
  </si>
  <si>
    <t>6) Exam Math Practice — Added From Quiz Screenshots</t>
  </si>
  <si>
    <t>Blue cells are fillable inputs. Green cells calculate the correct answer automatically.</t>
  </si>
  <si>
    <t>1) Commission Rate</t>
  </si>
  <si>
    <t>Calculation</t>
  </si>
  <si>
    <t>Exam Rule / Notes</t>
  </si>
  <si>
    <t>Sale Price</t>
  </si>
  <si>
    <t>Total Commission</t>
  </si>
  <si>
    <t>Total commission = listing broker commission + selling broker commission.</t>
  </si>
  <si>
    <t>Listing Broker Commission</t>
  </si>
  <si>
    <t>Commission Rate</t>
  </si>
  <si>
    <t>Commission rate = total commission ÷ sales price.</t>
  </si>
  <si>
    <t>Selling Broker Commission</t>
  </si>
  <si>
    <t>Correct Choice</t>
  </si>
  <si>
    <t>Exam answer: 7%.</t>
  </si>
  <si>
    <t>2) Appraised Value</t>
  </si>
  <si>
    <t>Market Value</t>
  </si>
  <si>
    <t>Appraised Value</t>
  </si>
  <si>
    <t>Appraised value = market value × appraised percent.</t>
  </si>
  <si>
    <t>Appraised Percent</t>
  </si>
  <si>
    <t>Exam answer: $403,750.</t>
  </si>
  <si>
    <t>3) Acres From Square Feet</t>
  </si>
  <si>
    <t>Square Feet</t>
  </si>
  <si>
    <t>Acres</t>
  </si>
  <si>
    <t>1 acre = 43,560 square feet.</t>
  </si>
  <si>
    <t>Sq. Ft. Per Acre</t>
  </si>
  <si>
    <t>Rounded Exam Answer</t>
  </si>
  <si>
    <t>787,253 ÷ 43,560 = 18.07, rounded to 18.</t>
  </si>
  <si>
    <t>Exam answer: 18 acres.</t>
  </si>
  <si>
    <t>7) Professor AI PDF - Core Real Estate Math Calculators</t>
  </si>
  <si>
    <t>Blue cells are fillable inputs. Green cells calculate automatically. PDF source: pages 71-90.</t>
  </si>
  <si>
    <t>Exam Rule / PDF Note</t>
  </si>
  <si>
    <t>Commission Paid</t>
  </si>
  <si>
    <t>Commission Rate from Paid</t>
  </si>
  <si>
    <t>Percentage = Part / Total.</t>
  </si>
  <si>
    <t>Total from Paid and Rate</t>
  </si>
  <si>
    <t>Total = Part / Percentage.</t>
  </si>
  <si>
    <t>8) Seller's Net Required Sale Price</t>
  </si>
  <si>
    <t>Desired Seller Net</t>
  </si>
  <si>
    <t>Total Needed Before Commission</t>
  </si>
  <si>
    <t>Add payoff, costs, desired net.</t>
  </si>
  <si>
    <t>Loan Payoff / Mortgage Balance</t>
  </si>
  <si>
    <t>Commission Retention Rate</t>
  </si>
  <si>
    <t>Retention rate = 100% - commission rate.</t>
  </si>
  <si>
    <t>Closing Costs / Repairs</t>
  </si>
  <si>
    <t>Required Sale Price</t>
  </si>
  <si>
    <t>Required sale price = total needed / retention rate.</t>
  </si>
  <si>
    <t>Estimated Commission</t>
  </si>
  <si>
    <t>Commission comes off sales price.</t>
  </si>
  <si>
    <t>Check: Seller Net</t>
  </si>
  <si>
    <t>Should equal desired net.</t>
  </si>
  <si>
    <t>9) Property Tax and Daily Interest</t>
  </si>
  <si>
    <t>Assessed Value</t>
  </si>
  <si>
    <t>Annual Property Tax</t>
  </si>
  <si>
    <t>Tax = assessed value x tax rate.</t>
  </si>
  <si>
    <t>Tax Rate</t>
  </si>
  <si>
    <t>Example from PDF: $459,000 x 1.7% = $7,803.</t>
  </si>
  <si>
    <t>Interest = principal x annual rate.</t>
  </si>
  <si>
    <t>Daily Interest</t>
  </si>
  <si>
    <t>Use 365-day year unless otherwise stated.</t>
  </si>
  <si>
    <t>Days Owed</t>
  </si>
  <si>
    <t>Interest Due at Closing</t>
  </si>
  <si>
    <t>10) Area, Acreage, Front Foot, and Volume</t>
  </si>
  <si>
    <t>Length</t>
  </si>
  <si>
    <t>Rectangle Area</t>
  </si>
  <si>
    <t>Area = length x width.</t>
  </si>
  <si>
    <t>Width</t>
  </si>
  <si>
    <t>Base</t>
  </si>
  <si>
    <t>Triangle Area</t>
  </si>
  <si>
    <t>Triangle area = base x height / 2.</t>
  </si>
  <si>
    <t>Height</t>
  </si>
  <si>
    <t>Triangle uses base and height.</t>
  </si>
  <si>
    <t>Frontage</t>
  </si>
  <si>
    <t>Front Foot Value</t>
  </si>
  <si>
    <t>Frontage is generally the first dimension.</t>
  </si>
  <si>
    <t>Price per Front Foot</t>
  </si>
  <si>
    <t>Front foot value = frontage x price per front foot.</t>
  </si>
  <si>
    <t>Height for Volume</t>
  </si>
  <si>
    <t>Volume = length x width x height; cubic units.</t>
  </si>
  <si>
    <t>11) Proration Calculator</t>
  </si>
  <si>
    <t>Annual Expense / Tax Bill</t>
  </si>
  <si>
    <t>Daily Rate</t>
  </si>
  <si>
    <t>Prorated Amount</t>
  </si>
  <si>
    <t>PDF example: Jan 1-Sept 15 = 258 days.</t>
  </si>
  <si>
    <t>Qualifying Ratios Calculator</t>
  </si>
  <si>
    <t>Blue cells are fillable. All formulas are locked. Use this to practice front-ratio/back-ratio exam questions.</t>
  </si>
  <si>
    <t>Program</t>
  </si>
  <si>
    <t>Notes</t>
  </si>
  <si>
    <t>Chart Source</t>
  </si>
  <si>
    <t>Conventional</t>
  </si>
  <si>
    <t>Standard private/Fannie-Freddie benchmark</t>
  </si>
  <si>
    <t>Government-insured benchmark</t>
  </si>
  <si>
    <t>—</t>
  </si>
  <si>
    <t>VA generally emphasizes residual income; many courses show 41% back ratio</t>
  </si>
  <si>
    <t>Live Calculator</t>
  </si>
  <si>
    <t>Front-Ratio Max Housing Payment</t>
  </si>
  <si>
    <t>Back-Ratio Max TOTAL Monthly Debt</t>
  </si>
  <si>
    <t>Back-Ratio Max Housing Payment</t>
  </si>
  <si>
    <t>QUALIFYING PAYMENT</t>
  </si>
  <si>
    <t>Exam Shortcut</t>
  </si>
  <si>
    <t>Calculate front max, calculate back max after debts, then take the lower amount.</t>
  </si>
  <si>
    <t>Front ratio</t>
  </si>
  <si>
    <t>Monthly gross income × front ratio = housing payment limit.</t>
  </si>
  <si>
    <t>Back ratio</t>
  </si>
  <si>
    <t>Monthly gross income × back ratio = total debt limit. Subtract existing debts to get max housing.</t>
  </si>
  <si>
    <t>Binding ratio</t>
  </si>
  <si>
    <t>The lower result controls the answer.</t>
  </si>
  <si>
    <t>Real Estate 2 - Module 4</t>
  </si>
  <si>
    <t>TRELA</t>
  </si>
  <si>
    <t>Texas Real Estate License Act; Texas Occupations Code Chapter 1101.</t>
  </si>
  <si>
    <t>Texas Real Estate Commission; regulates, licenses, and disciplines Texas real estate license holders.</t>
  </si>
  <si>
    <t>Licensed person/entity authorized to perform brokerage acts for another for compensation or expected compensation.</t>
  </si>
  <si>
    <t>Sales Agent</t>
  </si>
  <si>
    <t>License holder sponsored by a broker to act on behalf of the broker and broker's clients.</t>
  </si>
  <si>
    <t>License Holder</t>
  </si>
  <si>
    <t>A Texas real estate broker or sales agent licensed under Chapter 1101.</t>
  </si>
  <si>
    <t>Real Estate</t>
  </si>
  <si>
    <t>Interest in real property, including leasehold; excludes security interest for an obligation.</t>
  </si>
  <si>
    <t>Residential Rental Locator</t>
  </si>
  <si>
    <t>Person who, for consideration, locates apartment units for prospective tenants.</t>
  </si>
  <si>
    <t>Unrepresented party; must be treated fairly but is not owed fiduciary duties.</t>
  </si>
  <si>
    <t>Represented principal; owed fiduciary duties.</t>
  </si>
  <si>
    <t>Special Agency</t>
  </si>
  <si>
    <t>Limited authority for one specific act/transaction; typical broker-client relationship.</t>
  </si>
  <si>
    <t>General Agency</t>
  </si>
  <si>
    <t>Ongoing authority in a business area; typical broker-associate relationship.</t>
  </si>
  <si>
    <t>Universal Agency</t>
  </si>
  <si>
    <t>Broadest authority, usually through power of attorney.</t>
  </si>
  <si>
    <t>Texas broker representation of both parties with proper written consent.</t>
  </si>
  <si>
    <t>Fiduciary Duties</t>
  </si>
  <si>
    <t>OLD CAR: Obedience, Loyalty, Disclosure, Confidentiality, Accounting, Reasonable care.</t>
  </si>
  <si>
    <t>TREC fund of last resort for qualifying consumer damages after final judgment.</t>
  </si>
  <si>
    <t>First Renewal</t>
  </si>
  <si>
    <t>Sales agent first renewal requires 270 qualifying hours including Real Estate Brokerage plus Legal Updates.</t>
  </si>
  <si>
    <t>Active Renewal</t>
  </si>
  <si>
    <t>Generally 18 CE hours: 8 Legal Update, 3 contract-related, 7 elective.</t>
  </si>
  <si>
    <t>6-hour course required if made a supervisor; included in 18 CE hours.</t>
  </si>
  <si>
    <t>Principles of Real Estate 2 - Module 4 Study Fill-In</t>
  </si>
  <si>
    <t>Built from the uploaded workbook learning objectives, agency quiz screenshots, and official Texas/TREC sources. The uploaded textbook PDF itself rendered/text-extracted as blank except browser header/footer.</t>
  </si>
  <si>
    <t>Metric</t>
  </si>
  <si>
    <t>Count / Status</t>
  </si>
  <si>
    <t>Terms/Concepts Added</t>
  </si>
  <si>
    <t>Practice Questions Added</t>
  </si>
  <si>
    <t>Source Review</t>
  </si>
  <si>
    <t>PDF body not extractable; official sources used to fill gaps</t>
  </si>
  <si>
    <t>Practice Questions - Module 4 / Agency / TRELA</t>
  </si>
  <si>
    <t>In real estate, a buyer or seller is considered an agent's customer until he or she becomes a(n) ____.</t>
  </si>
  <si>
    <t>Associate</t>
  </si>
  <si>
    <t>C. Client</t>
  </si>
  <si>
    <t>A customer becomes a client when an agency relationship is created.</t>
  </si>
  <si>
    <t>The agreement between a broker and a client is most often a(n) ____ agency relationship.</t>
  </si>
  <si>
    <t>Special</t>
  </si>
  <si>
    <t>General</t>
  </si>
  <si>
    <t>Universal</t>
  </si>
  <si>
    <t>Sub</t>
  </si>
  <si>
    <t>A. Special</t>
  </si>
  <si>
    <t>A broker is usually hired for one specific real estate transaction or assignment.</t>
  </si>
  <si>
    <t>The broker and his or her associates are most often in a(n) ____ agency relationship.</t>
  </si>
  <si>
    <t>B. General</t>
  </si>
  <si>
    <t>Broker-associate authority is ongoing within the brokerage business.</t>
  </si>
  <si>
    <t>Which agency relationship gives the agent the broadest authority?</t>
  </si>
  <si>
    <t>C. Universal</t>
  </si>
  <si>
    <t>Universal agency is the broadest authority, usually requiring power of attorney.</t>
  </si>
  <si>
    <t>A broker representing both sides in a Texas transaction with written consent is acting as a(n):</t>
  </si>
  <si>
    <t>B. Intermediary</t>
  </si>
  <si>
    <t>Texas uses intermediary rules for broker representation of both parties.</t>
  </si>
  <si>
    <t>A party not represented by the broker but treated fairly is most accurately called a:</t>
  </si>
  <si>
    <t>Fiduciary</t>
  </si>
  <si>
    <t>B. Customer</t>
  </si>
  <si>
    <t>A client is represented; a customer is not.</t>
  </si>
  <si>
    <t>License Act</t>
  </si>
  <si>
    <t>TRELA is found primarily in which Texas code chapter?</t>
  </si>
  <si>
    <t>Property Code Chapter 5</t>
  </si>
  <si>
    <t>Finance Code Chapter 343</t>
  </si>
  <si>
    <t>Occupations Code Chapter 1101</t>
  </si>
  <si>
    <t>Business Organizations Code Chapter 101</t>
  </si>
  <si>
    <t>C. Occupations Code Chapter 1101</t>
  </si>
  <si>
    <t>Chapter 1101 is the Real Estate License Act.</t>
  </si>
  <si>
    <t>Under TREC/TRELA terminology, a license holder is usually a:</t>
  </si>
  <si>
    <t>Broker or sales agent</t>
  </si>
  <si>
    <t>Title company employee</t>
  </si>
  <si>
    <t>Mortgage servicer</t>
  </si>
  <si>
    <t>Homeowner</t>
  </si>
  <si>
    <t>A. Broker or sales agent</t>
  </si>
  <si>
    <t>License holder means broker or sales agent licensed under Chapter 1101.</t>
  </si>
  <si>
    <t>A sales agent must be sponsored by an active licensed broker before the agent can:</t>
  </si>
  <si>
    <t>Take qualifying education</t>
  </si>
  <si>
    <t>Work as a sales agent</t>
  </si>
  <si>
    <t>File a license application</t>
  </si>
  <si>
    <t>Request a fingerprint appointment</t>
  </si>
  <si>
    <t>B. Work as a sales agent</t>
  </si>
  <si>
    <t>After issuance as inactive, broker sponsorship activates work authority.</t>
  </si>
  <si>
    <t>A residential rental locator generally offers to locate what for compensation?</t>
  </si>
  <si>
    <t>A ranch</t>
  </si>
  <si>
    <t>An apartment unit for lease</t>
  </si>
  <si>
    <t>A mortgage lender</t>
  </si>
  <si>
    <t>A title policy</t>
  </si>
  <si>
    <t>B. An apartment unit for lease</t>
  </si>
  <si>
    <t>Residential rental locator is tied to apartment unit leasing for prospective tenants.</t>
  </si>
  <si>
    <t>How many classroom hours of qualifying real estate education are required for a Texas sales agent application?</t>
  </si>
  <si>
    <t>90</t>
  </si>
  <si>
    <t>120</t>
  </si>
  <si>
    <t>270</t>
  </si>
  <si>
    <t>C. 180</t>
  </si>
  <si>
    <t>Six 30-hour qualifying courses total 180 classroom hours.</t>
  </si>
  <si>
    <t>Active sales agent renewal generally requires how many hours of approved CE?</t>
  </si>
  <si>
    <t>8</t>
  </si>
  <si>
    <t>12</t>
  </si>
  <si>
    <t>C. 18</t>
  </si>
  <si>
    <t>CE includes Legal Update, contract-related coursework, and electives.</t>
  </si>
  <si>
    <t>Recovery</t>
  </si>
  <si>
    <t>The Real Estate Recovery Trust Account is best described as:</t>
  </si>
  <si>
    <t>A broker escrow account</t>
  </si>
  <si>
    <t>A fund of last resort</t>
  </si>
  <si>
    <t>A down payment assistance fund</t>
  </si>
  <si>
    <t>A commission split account</t>
  </si>
  <si>
    <t>B. A fund of last resort</t>
  </si>
  <si>
    <t>It helps reimburse consumers after qualifying final judgments when license holders cannot pay.</t>
  </si>
  <si>
    <t>TREC Rules</t>
  </si>
  <si>
    <t>A license holder's primary duty is to represent the interests of the:</t>
  </si>
  <si>
    <t>Inspector</t>
  </si>
  <si>
    <t>Title company</t>
  </si>
  <si>
    <t>TREC rules emphasize client representation while treating all parties fairly.</t>
  </si>
  <si>
    <t>Misrepresentation can happen by:</t>
  </si>
  <si>
    <t>Only written contracts</t>
  </si>
  <si>
    <t>Only verbal promises</t>
  </si>
  <si>
    <t>Acts or omissions</t>
  </si>
  <si>
    <t>Only advertising</t>
  </si>
  <si>
    <t>C. Acts or omissions</t>
  </si>
  <si>
    <t>TREC rules require integrity and avoiding misrepresentation by commission or omission.</t>
  </si>
  <si>
    <t>Principles of Real Estate 2 - Module 4 Flashcards</t>
  </si>
  <si>
    <t>Source / Note</t>
  </si>
  <si>
    <t>Module 4 / TREC source support</t>
  </si>
  <si>
    <t>Source Notes and Extraction Status</t>
  </si>
  <si>
    <t>Source Type</t>
  </si>
  <si>
    <t>Source Name</t>
  </si>
  <si>
    <t>Use</t>
  </si>
  <si>
    <t>What Was Pulled / Issue</t>
  </si>
  <si>
    <t>URL or Evidence</t>
  </si>
  <si>
    <t>Uploaded PDF</t>
  </si>
  <si>
    <t>TX-26-02-13_Principles_of_Real_Estate_2(1).pdf</t>
  </si>
  <si>
    <t>Rendered and text-extracted</t>
  </si>
  <si>
    <t>The file contains two pages with only browser header/footer text; no textbook body content was available to extract.</t>
  </si>
  <si>
    <t>Attached file</t>
  </si>
  <si>
    <t>Existing workbook tab</t>
  </si>
  <si>
    <t>Used</t>
  </si>
  <si>
    <t>Learning objectives listed Module 4 topics: definitions, TREC duties, complaint process, license requirements, renewals, Recovery Trust Account, liability, discipline, penalties.</t>
  </si>
  <si>
    <t>Workbook</t>
  </si>
  <si>
    <t>Course screenshot Q1</t>
  </si>
  <si>
    <t>Agency quiz</t>
  </si>
  <si>
    <t>Customer becomes Client.</t>
  </si>
  <si>
    <t>Screenshot</t>
  </si>
  <si>
    <t>Course screenshot Q2</t>
  </si>
  <si>
    <t>Broker-client agreement is most often Special agency.</t>
  </si>
  <si>
    <t>Course screenshot Q3</t>
  </si>
  <si>
    <t>Broker-associate relationship is most often General agency.</t>
  </si>
  <si>
    <t>Official source</t>
  </si>
  <si>
    <t>Texas Occupations Code Chapter 1101</t>
  </si>
  <si>
    <t>Supplemented</t>
  </si>
  <si>
    <t>Used for TRELA definitions and disciplinary framework.</t>
  </si>
  <si>
    <t>Used for Commission/license holder definitions and duties.</t>
  </si>
  <si>
    <t>TREC Become a Sales Agent</t>
  </si>
  <si>
    <t>Used for qualifying education and sales agent sponsorship requirements.</t>
  </si>
  <si>
    <t>TREC Renewal</t>
  </si>
  <si>
    <t>Used for first renewal and CE renewal requirements.</t>
  </si>
  <si>
    <t>TREC Recovery Fund</t>
  </si>
  <si>
    <t>Used for Real Estate Recovery Trust Account notes.</t>
  </si>
  <si>
    <t>Expanded Concepts Update</t>
  </si>
  <si>
    <t>The original Concepts tab was too light for RE2 Module 4. It has now been replaced/expanded with a full concept checklist.</t>
  </si>
  <si>
    <t>Internal workbook update</t>
  </si>
  <si>
    <t>2026-06-01</t>
  </si>
  <si>
    <t>TREC Become Sales Agent</t>
  </si>
  <si>
    <t>Sales agent qualifications, 180 hours, exam, sponsorship/inactive status.</t>
  </si>
  <si>
    <t>Broker responsibility, education rules, advertising rules, fiduciary duties, CE rules, discipline concepts.</t>
  </si>
  <si>
    <t>TREC Renew Sales Agent</t>
  </si>
  <si>
    <t>First renewal/SAE, 270 hours, 18-hour CE, inactive renewal.</t>
  </si>
  <si>
    <t>TREC Intermediary</t>
  </si>
  <si>
    <t>Texas intermediary relationship and dual-agency prohibition.</t>
  </si>
  <si>
    <t>Recovery Trust Account process and limits.</t>
  </si>
  <si>
    <t>Texas Occupations Code 1101</t>
  </si>
  <si>
    <t>TRELA statutory definitions and licensing/enforcement framework.</t>
  </si>
  <si>
    <t>Math/QA Upgrade</t>
  </si>
  <si>
    <t>Workbook edit</t>
  </si>
  <si>
    <t>Rebuilt Math Formulas and Qualifying as protected calculators; added Due Diligence Review.</t>
  </si>
  <si>
    <t>Only blue cells are editable; formulas locked.</t>
  </si>
  <si>
    <t>PROFESSOR REAL ESTATE AI.pdf</t>
  </si>
  <si>
    <t>Added</t>
  </si>
  <si>
    <t>Extracted and normalized fair housing, agency/intermediary, DTPA/disclosure, and math concepts; added 105 concepts, 38 questions, 105 flashcards, and math calculator formulas.</t>
  </si>
  <si>
    <t>Attached PDF, pages 1-90</t>
  </si>
  <si>
    <t>Workbook Due Diligence Review</t>
  </si>
  <si>
    <t>Reviewed and upgraded tabs on 2026-06-01. Math tabs were rebuilt with locked formulas and fillable blue input cells only.</t>
  </si>
  <si>
    <t>Tab</t>
  </si>
  <si>
    <t>Checked</t>
  </si>
  <si>
    <t>Risk / Gap Found</t>
  </si>
  <si>
    <t>Action Taken</t>
  </si>
  <si>
    <t>Formula / Logic Status</t>
  </si>
  <si>
    <t>Input Cells</t>
  </si>
  <si>
    <t>Overview</t>
  </si>
  <si>
    <t>Yes</t>
  </si>
  <si>
    <t>Needed current workbook summary.</t>
  </si>
  <si>
    <t>Kept summary; workbook now has QA tab and professional math tabs.</t>
  </si>
  <si>
    <t>No formula dependency</t>
  </si>
  <si>
    <t>N/A</t>
  </si>
  <si>
    <t>Update if new modules are added.</t>
  </si>
  <si>
    <t>Original objectives preserved; rows had large blank areas.</t>
  </si>
  <si>
    <t>Reviewed for continuity; retained content to avoid disrupting original course objectives.</t>
  </si>
  <si>
    <t>More textbook-specific fill-ins require a readable textbook export.</t>
  </si>
  <si>
    <t>Large quiz table needs readability.</t>
  </si>
  <si>
    <t>Confirmed table structure and answer/explanation columns.</t>
  </si>
  <si>
    <t>Use filter in Excel if desired.</t>
  </si>
  <si>
    <t>Agency/entity definitions need to stay separated from laws.</t>
  </si>
  <si>
    <t>Confirmed key entities and roles are organized.</t>
  </si>
  <si>
    <t>Good for quick memorization.</t>
  </si>
  <si>
    <t>Important law acronyms and regulations must be exam-ready.</t>
  </si>
  <si>
    <t>Confirmed law, full name, regulation, and function columns.</t>
  </si>
  <si>
    <t>Keep ECOA/TILA/RESPA/SAFE/CRA/HMDA straight.</t>
  </si>
  <si>
    <t>Earlier concept list was too light.</t>
  </si>
  <si>
    <t>Expanded to 100+ rows in prior version and reviewed as key concept checklist.</t>
  </si>
  <si>
    <t>High-value study tab.</t>
  </si>
  <si>
    <t>Needs clear distinction between Fed tools and loan pricing.</t>
  </si>
  <si>
    <t>Confirmed definitions and exam triggers.</t>
  </si>
  <si>
    <t>Useful for pricing/yield questions.</t>
  </si>
  <si>
    <t>Loan type distinctions can overlap.</t>
  </si>
  <si>
    <t>Reviewed categories and plain-English explanations.</t>
  </si>
  <si>
    <t>Focus on ARM, balloon, package, wrap, budget, hard money.</t>
  </si>
  <si>
    <t>Old math chart/calculator layout was not professional and formulas were exposed.</t>
  </si>
  <si>
    <t>Rebuilt as professional calculator dashboard with charts, formulas, input legend, and protection.</t>
  </si>
  <si>
    <t>Formula-driven; no hardcoded outputs</t>
  </si>
  <si>
    <t>B8:B10, B17:B18, B24:B26, B29:B31, B36:B38, B46:B49</t>
  </si>
  <si>
    <t>Critical</t>
  </si>
  <si>
    <t>Only blue input cells are meant to be edited.</t>
  </si>
  <si>
    <t>Needed professional standalone ratio calculator.</t>
  </si>
  <si>
    <t>Rebuilt with program ratios, formula outputs, chart, shortcut notes, and protection.</t>
  </si>
  <si>
    <t>B12:B15</t>
  </si>
  <si>
    <t>Study reference tab.</t>
  </si>
  <si>
    <t>Reviewed as quick memory aid; no formula changes required.</t>
  </si>
  <si>
    <t>Use for rapid review.</t>
  </si>
  <si>
    <t>Module-specific content should remain separated from mortgage study content.</t>
  </si>
  <si>
    <t>Reviewed and preserved module-specific filled content.</t>
  </si>
  <si>
    <t>Use with Concepts tab.</t>
  </si>
  <si>
    <t>Module-specific memory aid.</t>
  </si>
  <si>
    <t>Reviewed and preserved.</t>
  </si>
  <si>
    <t>Use for fast review.</t>
  </si>
  <si>
    <t>Need transparency on source limitations.</t>
  </si>
  <si>
    <t>Preserved source/extraction notes.</t>
  </si>
  <si>
    <t>PDF had limited extractable text; use readable PDF for full course extraction.</t>
  </si>
  <si>
    <t>Full concept coverage needed.</t>
  </si>
  <si>
    <t>Reviewed as expanded checklist backup/reference.</t>
  </si>
  <si>
    <t>Duplicate concept reference kept intentionally.</t>
  </si>
  <si>
    <t>Professor AI Intake</t>
  </si>
  <si>
    <t>New PDF reviewed and integrated</t>
  </si>
  <si>
    <t>Added new intake, concepts, questions, flashcards, and math formula sections.</t>
  </si>
  <si>
    <t>Done</t>
  </si>
  <si>
    <t>pp. 1-90</t>
  </si>
  <si>
    <t>Concepts / RE2 Full Concepts</t>
  </si>
  <si>
    <t>Appended fair housing + agency + math concepts</t>
  </si>
  <si>
    <t>105 new concept rows appended at row 110 after PDF section marker.</t>
  </si>
  <si>
    <t>Quiz / Professor AI Questions</t>
  </si>
  <si>
    <t>Added extracted/practice questions</t>
  </si>
  <si>
    <t>38 practice questions added to Quiz and the new Professor AI Questions tab.</t>
  </si>
  <si>
    <t>Added interactive calculator bank</t>
  </si>
  <si>
    <t>Added fillable inputs with formulas for T formula, seller net, tax, interest, area, acreage, volume, and proration.</t>
  </si>
  <si>
    <t>pp. 71-90</t>
  </si>
  <si>
    <t>Professor Real Estate AI PDF Intake</t>
  </si>
  <si>
    <t>Updated</t>
  </si>
  <si>
    <t>Source</t>
  </si>
  <si>
    <t>Workbook Updated</t>
  </si>
  <si>
    <t>Mortgage_Exam_Study_Workbook_1_RE2_QA_Protected_Professor_AI_Added.xlsx</t>
  </si>
  <si>
    <t>Area Added</t>
  </si>
  <si>
    <t>Rows Added</t>
  </si>
  <si>
    <t>Destination Sheet(s)</t>
  </si>
  <si>
    <t>Source Pages</t>
  </si>
  <si>
    <t>Status</t>
  </si>
  <si>
    <t>Professor AI Concepts; appended to Concepts; appended to RE2 Full Concepts</t>
  </si>
  <si>
    <t>Fair housing, agency/intermediary, DTPA/disclosure, and math concepts extracted and normalized.</t>
  </si>
  <si>
    <t>Questions</t>
  </si>
  <si>
    <t>Professor AI Questions; appended to Quiz</t>
  </si>
  <si>
    <t>Multiple-choice practice questions with answers/explanations.</t>
  </si>
  <si>
    <t>Professor AI Flashcards</t>
  </si>
  <si>
    <t>Term-definition cards created from extracted concepts.</t>
  </si>
  <si>
    <t>Interactive calculator bank added from Professor PDF: commission, seller net, taxes, interest, area, acreage, volume, prorations.</t>
  </si>
  <si>
    <t>Source Notes; Due Diligence Review</t>
  </si>
  <si>
    <t>Source/intake notes updated.</t>
  </si>
  <si>
    <t>Source / Evidence</t>
  </si>
  <si>
    <t>Professor AI PDF pp. 1-3</t>
  </si>
  <si>
    <t>Professor AI PDF pp. 2, 4, 9</t>
  </si>
  <si>
    <t>Professor AI PDF p. 4</t>
  </si>
  <si>
    <t>Professor AI PDF pp. 3-4, 8, 12</t>
  </si>
  <si>
    <t>Professor AI PDF p. 3</t>
  </si>
  <si>
    <t>Professor AI PDF pp. 5-7, 11-15</t>
  </si>
  <si>
    <t>Professor AI PDF p. 22</t>
  </si>
  <si>
    <t>Professor AI PDF p. 23</t>
  </si>
  <si>
    <t>Professor AI PDF p. 25</t>
  </si>
  <si>
    <t>Professor AI PDF pp. 25-27</t>
  </si>
  <si>
    <t>Professor AI PDF pp. 31-32</t>
  </si>
  <si>
    <t>Professor AI PDF p. 32</t>
  </si>
  <si>
    <t>Professor AI PDF pp. 33-35</t>
  </si>
  <si>
    <t>Professor AI PDF p. 36</t>
  </si>
  <si>
    <t>Professor AI PDF pp. 37-38</t>
  </si>
  <si>
    <t>Professor AI PDF pp. 38-39</t>
  </si>
  <si>
    <t>Professor AI PDF pp. 42-44</t>
  </si>
  <si>
    <t>Professor AI PDF pp. 47-49</t>
  </si>
  <si>
    <t>Professor AI PDF pp. 49-50</t>
  </si>
  <si>
    <t>Professor AI PDF pp. 51-52</t>
  </si>
  <si>
    <t>Professor AI PDF pp. 60-62</t>
  </si>
  <si>
    <t>Professor AI PDF pp. 60, 65</t>
  </si>
  <si>
    <t>Professor AI PDF pp. 60, 63-65</t>
  </si>
  <si>
    <t>Professor AI PDF pp. 80-81</t>
  </si>
  <si>
    <t>Professor AI PDF pp. 81-82</t>
  </si>
  <si>
    <t>Professor AI PDF p. 82</t>
  </si>
  <si>
    <t>Professor AI PDF pp. 82-85</t>
  </si>
  <si>
    <t>Professor AI PDF pp. 85-86</t>
  </si>
  <si>
    <t>Professor AI PDF pp. 86, 89</t>
  </si>
  <si>
    <t>Professor AI PDF pp. 88-89</t>
  </si>
  <si>
    <t>Professor AI PDF p. 89</t>
  </si>
  <si>
    <t>Professor AI PDF p. 90</t>
  </si>
  <si>
    <t>Professor AI PDF p.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</si>
</sst>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7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27500A"/>
      <name val="Arial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0"/>
      <color rgb="FF1F2937"/>
      <name val="Calibri"/>
    </font>
    <font>
      <b/>
      <sz val="11"/>
      <color theme="1"/>
      <name val="Calibri"/>
    </font>
    <font>
      <b/>
      <sz val="18"/>
      <color rgb="FFFFFFFF"/>
      <name val="Calibri"/>
    </font>
    <font>
      <i/>
      <sz val="11"/>
      <color rgb="FF44546A"/>
      <name val="Calibri"/>
    </font>
    <font>
      <b/>
      <sz val="12"/>
      <color rgb="FFFFFFFF"/>
      <name val="Calibri"/>
    </font>
    <font>
      <sz val="10"/>
      <color theme="1"/>
      <name val="Calibri"/>
    </font>
    <font>
      <b/>
      <sz val="10"/>
      <color rgb="FF1F4E78"/>
      <name val="Arial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rgb="FF4C4C4C"/>
      <name val="Inherit"/>
    </font>
    <font>
      <sz val="10"/>
      <color rgb="FFFFFFFF"/>
      <name val="Inherit"/>
    </font>
    <font>
      <b/>
      <sz val="10"/>
      <color rgb="FF004990"/>
      <name val="Polymath-display"/>
    </font>
    <font>
      <sz val="10"/>
      <color rgb="FF004990"/>
      <name val="Polymath-text"/>
    </font>
    <font>
      <b/>
      <sz val="10"/>
      <color rgb="FF004990"/>
      <name val="Polymath-text"/>
    </font>
    <font>
      <sz val="10"/>
      <color rgb="FF004990"/>
      <name val="Polymath-display"/>
    </font>
    <font>
      <sz val="10"/>
      <color rgb="FF1F2937"/>
      <name val="Calibri"/>
    </font>
    <font>
      <b/>
      <sz val="10"/>
      <color rgb="FFFFFFFF"/>
      <name val="Arial"/>
    </font>
    <font>
      <sz val="10"/>
      <name val="Calibri"/>
    </font>
    <font>
      <b/>
      <sz val="14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004990"/>
      </patternFill>
    </fill>
    <fill>
      <patternFill patternType="solid">
        <fgColor rgb="FFFFFFFF"/>
      </patternFill>
    </fill>
    <fill>
      <patternFill patternType="solid">
        <fgColor rgb="FFCCDAE8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0B4F81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44546A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/>
      <bottom/>
      <diagonal/>
    </border>
    <border>
      <left/>
      <right style="thin">
        <color rgb="FFE7E6E6"/>
      </right>
      <top/>
      <bottom/>
      <diagonal/>
    </border>
    <border>
      <left style="thin">
        <color rgb="FFE7E6E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E7E6E6"/>
      </right>
      <top style="thin">
        <color rgb="FFBFBFBF"/>
      </top>
      <bottom style="thin">
        <color rgb="FFBFBFBF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/>
      <right/>
      <top style="thin">
        <color rgb="FFE7E6E6"/>
      </top>
      <bottom/>
      <diagonal/>
    </border>
    <border>
      <left/>
      <right/>
      <top/>
      <bottom style="thin">
        <color rgb="FFE7E6E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E7E6E6"/>
      </bottom>
      <diagonal/>
    </border>
    <border>
      <left style="thin">
        <color rgb="FFBFBFBF"/>
      </left>
      <right style="thin">
        <color rgb="FFE7E6E6"/>
      </right>
      <top style="thin">
        <color rgb="FFBFBFBF"/>
      </top>
      <bottom style="thin">
        <color rgb="FFE7E6E6"/>
      </bottom>
      <diagonal/>
    </border>
    <border>
      <left style="thin">
        <color rgb="FFE7E6E6"/>
      </left>
      <right style="thin">
        <color rgb="FFBFBFBF"/>
      </right>
      <top style="thin">
        <color rgb="FFBFBFBF"/>
      </top>
      <bottom style="thin">
        <color rgb="FFE7E6E6"/>
      </bottom>
      <diagonal/>
    </border>
    <border>
      <left/>
      <right style="thin">
        <color rgb="FFE7E6E6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17" borderId="3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1" fillId="15" borderId="11" xfId="0" applyFont="1" applyFill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11" fillId="16" borderId="11" xfId="0" applyFont="1" applyFill="1" applyBorder="1" applyAlignment="1">
      <alignment vertical="top" wrapText="1"/>
    </xf>
    <xf numFmtId="0" fontId="11" fillId="15" borderId="5" xfId="0" applyFont="1" applyFill="1" applyBorder="1" applyAlignment="1">
      <alignment wrapText="1"/>
    </xf>
    <xf numFmtId="0" fontId="11" fillId="0" borderId="3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0" fillId="19" borderId="0" xfId="0" applyFont="1" applyFill="1" applyAlignment="1">
      <alignment horizontal="left" vertical="center" wrapText="1"/>
    </xf>
    <xf numFmtId="0" fontId="11" fillId="16" borderId="12" xfId="0" applyFont="1" applyFill="1" applyBorder="1" applyAlignment="1">
      <alignment vertical="top" wrapText="1"/>
    </xf>
    <xf numFmtId="0" fontId="11" fillId="16" borderId="0" xfId="0" applyFont="1" applyFill="1" applyAlignment="1">
      <alignment vertical="top" wrapText="1"/>
    </xf>
    <xf numFmtId="0" fontId="11" fillId="16" borderId="13" xfId="0" applyFont="1" applyFill="1" applyBorder="1" applyAlignment="1">
      <alignment vertical="top" wrapText="1"/>
    </xf>
    <xf numFmtId="164" fontId="11" fillId="14" borderId="7" xfId="0" applyNumberFormat="1" applyFont="1" applyFill="1" applyBorder="1" applyAlignment="1">
      <alignment vertical="top" wrapText="1"/>
    </xf>
    <xf numFmtId="164" fontId="11" fillId="14" borderId="11" xfId="0" applyNumberFormat="1" applyFont="1" applyFill="1" applyBorder="1" applyAlignment="1">
      <alignment vertical="top" wrapText="1"/>
    </xf>
    <xf numFmtId="164" fontId="11" fillId="15" borderId="7" xfId="0" applyNumberFormat="1" applyFont="1" applyFill="1" applyBorder="1" applyAlignment="1">
      <alignment vertical="top" wrapText="1"/>
    </xf>
    <xf numFmtId="164" fontId="11" fillId="15" borderId="9" xfId="0" applyNumberFormat="1" applyFont="1" applyFill="1" applyBorder="1" applyAlignment="1">
      <alignment vertical="top" wrapText="1"/>
    </xf>
    <xf numFmtId="164" fontId="11" fillId="15" borderId="11" xfId="0" applyNumberFormat="1" applyFont="1" applyFill="1" applyBorder="1" applyAlignment="1">
      <alignment vertical="top" wrapText="1"/>
    </xf>
    <xf numFmtId="164" fontId="11" fillId="15" borderId="5" xfId="0" applyNumberFormat="1" applyFont="1" applyFill="1" applyBorder="1" applyAlignment="1">
      <alignment vertical="top" wrapText="1"/>
    </xf>
    <xf numFmtId="164" fontId="11" fillId="14" borderId="9" xfId="0" applyNumberFormat="1" applyFont="1" applyFill="1" applyBorder="1" applyAlignment="1">
      <alignment vertical="top" wrapText="1"/>
    </xf>
    <xf numFmtId="164" fontId="11" fillId="0" borderId="7" xfId="0" applyNumberFormat="1" applyFont="1" applyBorder="1" applyAlignment="1">
      <alignment vertical="top" wrapText="1"/>
    </xf>
    <xf numFmtId="164" fontId="11" fillId="0" borderId="11" xfId="0" applyNumberFormat="1" applyFont="1" applyBorder="1" applyAlignment="1">
      <alignment vertical="top" wrapText="1"/>
    </xf>
    <xf numFmtId="164" fontId="11" fillId="0" borderId="9" xfId="0" applyNumberFormat="1" applyFont="1" applyBorder="1" applyAlignment="1">
      <alignment vertical="top" wrapText="1"/>
    </xf>
    <xf numFmtId="10" fontId="11" fillId="14" borderId="9" xfId="0" applyNumberFormat="1" applyFont="1" applyFill="1" applyBorder="1" applyAlignment="1">
      <alignment vertical="top" wrapText="1"/>
    </xf>
    <xf numFmtId="10" fontId="11" fillId="14" borderId="11" xfId="0" applyNumberFormat="1" applyFont="1" applyFill="1" applyBorder="1" applyAlignment="1">
      <alignment vertical="top" wrapText="1"/>
    </xf>
    <xf numFmtId="10" fontId="11" fillId="15" borderId="9" xfId="0" applyNumberFormat="1" applyFont="1" applyFill="1" applyBorder="1" applyAlignment="1">
      <alignment vertical="top" wrapText="1"/>
    </xf>
    <xf numFmtId="1" fontId="11" fillId="14" borderId="11" xfId="0" applyNumberFormat="1" applyFont="1" applyFill="1" applyBorder="1" applyAlignment="1">
      <alignment vertical="top" wrapText="1"/>
    </xf>
    <xf numFmtId="49" fontId="11" fillId="15" borderId="11" xfId="0" applyNumberFormat="1" applyFont="1" applyFill="1" applyBorder="1" applyAlignment="1">
      <alignment vertical="top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12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9" fontId="11" fillId="0" borderId="0" xfId="0" applyNumberFormat="1" applyFont="1" applyAlignment="1">
      <alignment vertical="top" wrapText="1"/>
    </xf>
    <xf numFmtId="9" fontId="11" fillId="0" borderId="13" xfId="0" applyNumberFormat="1" applyFont="1" applyBorder="1" applyAlignment="1">
      <alignment vertical="top" wrapText="1"/>
    </xf>
    <xf numFmtId="0" fontId="11" fillId="15" borderId="12" xfId="0" applyFont="1" applyFill="1" applyBorder="1" applyAlignment="1">
      <alignment vertical="top" wrapText="1"/>
    </xf>
    <xf numFmtId="0" fontId="11" fillId="15" borderId="0" xfId="0" applyFont="1" applyFill="1" applyAlignment="1">
      <alignment vertical="top" wrapText="1"/>
    </xf>
    <xf numFmtId="0" fontId="11" fillId="15" borderId="13" xfId="0" applyFont="1" applyFill="1" applyBorder="1" applyAlignment="1">
      <alignment vertical="top" wrapText="1"/>
    </xf>
    <xf numFmtId="0" fontId="13" fillId="6" borderId="0" xfId="0" applyFont="1" applyFill="1" applyAlignment="1">
      <alignment horizontal="center" vertical="center" wrapText="1"/>
    </xf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2" fillId="2" borderId="18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wrapText="1"/>
    </xf>
    <xf numFmtId="0" fontId="1" fillId="0" borderId="17" xfId="0" applyFont="1" applyBorder="1" applyAlignment="1">
      <alignment vertical="top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wrapText="1"/>
    </xf>
    <xf numFmtId="0" fontId="14" fillId="11" borderId="20" xfId="0" applyFont="1" applyFill="1" applyBorder="1" applyAlignment="1">
      <alignment wrapText="1"/>
    </xf>
    <xf numFmtId="0" fontId="11" fillId="0" borderId="21" xfId="0" applyFont="1" applyBorder="1" applyAlignment="1">
      <alignment wrapText="1"/>
    </xf>
    <xf numFmtId="0" fontId="21" fillId="9" borderId="0" xfId="0" applyFont="1" applyFill="1" applyAlignment="1">
      <alignment wrapText="1"/>
    </xf>
    <xf numFmtId="0" fontId="15" fillId="0" borderId="14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6" fillId="3" borderId="16" xfId="0" applyFont="1" applyFill="1" applyBorder="1" applyAlignment="1">
      <alignment wrapText="1"/>
    </xf>
    <xf numFmtId="0" fontId="17" fillId="4" borderId="16" xfId="0" applyFont="1" applyFill="1" applyBorder="1" applyAlignment="1">
      <alignment wrapText="1"/>
    </xf>
    <xf numFmtId="0" fontId="18" fillId="4" borderId="16" xfId="0" applyFont="1" applyFill="1" applyBorder="1" applyAlignment="1">
      <alignment wrapText="1"/>
    </xf>
    <xf numFmtId="0" fontId="19" fillId="4" borderId="16" xfId="0" applyFont="1" applyFill="1" applyBorder="1" applyAlignment="1">
      <alignment wrapText="1"/>
    </xf>
    <xf numFmtId="0" fontId="20" fillId="5" borderId="16" xfId="0" applyFont="1" applyFill="1" applyBorder="1" applyAlignment="1">
      <alignment wrapText="1"/>
    </xf>
    <xf numFmtId="0" fontId="13" fillId="8" borderId="16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21" fillId="9" borderId="16" xfId="0" applyFont="1" applyFill="1" applyBorder="1" applyAlignment="1">
      <alignment wrapText="1"/>
    </xf>
    <xf numFmtId="0" fontId="21" fillId="9" borderId="17" xfId="0" applyFont="1" applyFill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22" fillId="6" borderId="18" xfId="0" applyFont="1" applyFill="1" applyBorder="1" applyAlignment="1">
      <alignment horizontal="center" vertical="center" wrapText="1"/>
    </xf>
    <xf numFmtId="0" fontId="22" fillId="6" borderId="1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top" wrapText="1"/>
    </xf>
    <xf numFmtId="0" fontId="1" fillId="7" borderId="16" xfId="0" applyFont="1" applyFill="1" applyBorder="1" applyAlignment="1">
      <alignment wrapText="1"/>
    </xf>
    <xf numFmtId="0" fontId="1" fillId="7" borderId="19" xfId="0" applyFont="1" applyFill="1" applyBorder="1" applyAlignment="1">
      <alignment vertical="top" wrapText="1"/>
    </xf>
    <xf numFmtId="0" fontId="1" fillId="0" borderId="20" xfId="0" applyFont="1" applyBorder="1" applyAlignment="1">
      <alignment wrapText="1"/>
    </xf>
    <xf numFmtId="0" fontId="1" fillId="0" borderId="24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7" borderId="18" xfId="0" applyFont="1" applyFill="1" applyBorder="1" applyAlignment="1">
      <alignment vertical="top" wrapText="1"/>
    </xf>
    <xf numFmtId="0" fontId="2" fillId="0" borderId="26" xfId="0" applyFont="1" applyBorder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1" fillId="0" borderId="16" xfId="0" applyFont="1" applyBorder="1" applyAlignment="1">
      <alignment vertical="top" wrapText="1"/>
    </xf>
    <xf numFmtId="0" fontId="11" fillId="0" borderId="20" xfId="0" applyFont="1" applyBorder="1" applyAlignment="1">
      <alignment vertical="top" wrapText="1"/>
    </xf>
    <xf numFmtId="0" fontId="11" fillId="0" borderId="23" xfId="0" applyFont="1" applyBorder="1" applyAlignment="1">
      <alignment vertical="top" wrapText="1"/>
    </xf>
    <xf numFmtId="0" fontId="11" fillId="0" borderId="21" xfId="0" applyFont="1" applyBorder="1" applyAlignment="1">
      <alignment vertical="top" wrapText="1"/>
    </xf>
    <xf numFmtId="0" fontId="2" fillId="7" borderId="26" xfId="0" applyFont="1" applyFill="1" applyBorder="1" applyAlignment="1">
      <alignment vertical="top" wrapText="1"/>
    </xf>
    <xf numFmtId="0" fontId="1" fillId="7" borderId="24" xfId="0" applyFont="1" applyFill="1" applyBorder="1" applyAlignment="1">
      <alignment vertical="top" wrapText="1"/>
    </xf>
    <xf numFmtId="0" fontId="1" fillId="7" borderId="25" xfId="0" applyFont="1" applyFill="1" applyBorder="1" applyAlignment="1">
      <alignment vertical="top" wrapText="1"/>
    </xf>
    <xf numFmtId="0" fontId="21" fillId="9" borderId="0" xfId="0" applyFont="1" applyFill="1" applyAlignment="1">
      <alignment vertical="top" wrapText="1"/>
    </xf>
    <xf numFmtId="0" fontId="13" fillId="6" borderId="0" xfId="0" applyFont="1" applyFill="1" applyAlignment="1">
      <alignment horizontal="center" vertical="top" wrapText="1"/>
    </xf>
    <xf numFmtId="0" fontId="21" fillId="9" borderId="16" xfId="0" applyFont="1" applyFill="1" applyBorder="1" applyAlignment="1">
      <alignment vertical="top" wrapText="1"/>
    </xf>
    <xf numFmtId="0" fontId="13" fillId="6" borderId="16" xfId="0" applyFont="1" applyFill="1" applyBorder="1" applyAlignment="1">
      <alignment horizontal="center" vertical="top" wrapText="1"/>
    </xf>
    <xf numFmtId="0" fontId="13" fillId="6" borderId="17" xfId="0" applyFont="1" applyFill="1" applyBorder="1" applyAlignment="1">
      <alignment horizontal="center" vertical="top" wrapText="1"/>
    </xf>
    <xf numFmtId="0" fontId="4" fillId="12" borderId="22" xfId="0" applyFont="1" applyFill="1" applyBorder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22" fillId="17" borderId="18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7" borderId="19" xfId="0" applyFont="1" applyFill="1" applyBorder="1" applyAlignment="1">
      <alignment horizontal="center" vertical="center" wrapText="1"/>
    </xf>
    <xf numFmtId="0" fontId="13" fillId="17" borderId="0" xfId="0" applyFont="1" applyFill="1" applyAlignment="1">
      <alignment horizontal="center" vertical="center" wrapText="1"/>
    </xf>
    <xf numFmtId="0" fontId="13" fillId="17" borderId="17" xfId="0" applyFont="1" applyFill="1" applyBorder="1" applyAlignment="1">
      <alignment horizontal="center" vertical="center" wrapText="1"/>
    </xf>
    <xf numFmtId="0" fontId="13" fillId="17" borderId="16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wrapText="1"/>
    </xf>
    <xf numFmtId="0" fontId="11" fillId="15" borderId="4" xfId="0" applyFont="1" applyFill="1" applyBorder="1" applyAlignment="1">
      <alignment wrapText="1"/>
    </xf>
    <xf numFmtId="0" fontId="7" fillId="0" borderId="3" xfId="0" applyFont="1" applyBorder="1" applyAlignment="1">
      <alignment vertical="center" wrapText="1"/>
    </xf>
    <xf numFmtId="0" fontId="7" fillId="14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15" borderId="4" xfId="0" applyFont="1" applyFill="1" applyBorder="1" applyAlignment="1">
      <alignment vertical="center" wrapText="1"/>
    </xf>
    <xf numFmtId="0" fontId="7" fillId="16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1" fillId="16" borderId="3" xfId="0" applyFont="1" applyFill="1" applyBorder="1" applyAlignment="1">
      <alignment vertical="top" wrapText="1"/>
    </xf>
    <xf numFmtId="164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4" fillId="20" borderId="0" xfId="0" applyFont="1" applyFill="1" applyAlignment="1">
      <alignment vertical="top" wrapText="1"/>
    </xf>
    <xf numFmtId="0" fontId="5" fillId="21" borderId="0" xfId="0" applyFont="1" applyFill="1" applyAlignment="1">
      <alignment horizontal="center" vertical="center" wrapText="1"/>
    </xf>
    <xf numFmtId="0" fontId="5" fillId="20" borderId="0" xfId="0" applyFont="1" applyFill="1"/>
    <xf numFmtId="164" fontId="0" fillId="22" borderId="0" xfId="0" applyNumberFormat="1" applyFill="1"/>
    <xf numFmtId="164" fontId="0" fillId="23" borderId="0" xfId="0" applyNumberFormat="1" applyFill="1"/>
    <xf numFmtId="4" fontId="0" fillId="22" borderId="0" xfId="0" applyNumberFormat="1" applyFill="1"/>
    <xf numFmtId="0" fontId="5" fillId="24" borderId="0" xfId="0" applyFont="1" applyFill="1" applyAlignment="1">
      <alignment vertical="top" wrapText="1"/>
    </xf>
    <xf numFmtId="4" fontId="5" fillId="24" borderId="0" xfId="0" applyNumberFormat="1" applyFont="1" applyFill="1" applyAlignment="1">
      <alignment vertical="top" wrapText="1"/>
    </xf>
    <xf numFmtId="164" fontId="5" fillId="24" borderId="0" xfId="0" applyNumberFormat="1" applyFont="1" applyFill="1" applyAlignment="1">
      <alignment vertical="top" wrapText="1"/>
    </xf>
    <xf numFmtId="0" fontId="25" fillId="28" borderId="0" xfId="0" applyFont="1" applyFill="1" applyAlignment="1">
      <alignment vertical="top" wrapText="1"/>
    </xf>
    <xf numFmtId="0" fontId="26" fillId="28" borderId="0" xfId="0" applyFont="1" applyFill="1" applyAlignment="1">
      <alignment vertical="top" wrapText="1"/>
    </xf>
    <xf numFmtId="164" fontId="26" fillId="28" borderId="0" xfId="0" applyNumberFormat="1" applyFont="1" applyFill="1" applyAlignment="1">
      <alignment vertical="top" wrapText="1"/>
    </xf>
    <xf numFmtId="10" fontId="26" fillId="28" borderId="0" xfId="0" applyNumberFormat="1" applyFont="1" applyFill="1" applyAlignment="1">
      <alignment vertical="top" wrapText="1"/>
    </xf>
    <xf numFmtId="4" fontId="26" fillId="28" borderId="0" xfId="0" applyNumberFormat="1" applyFont="1" applyFill="1" applyAlignment="1">
      <alignment vertical="top" wrapText="1"/>
    </xf>
    <xf numFmtId="0" fontId="5" fillId="25" borderId="0" xfId="0" applyFont="1" applyFill="1" applyAlignment="1">
      <alignment horizontal="center" vertical="top" wrapText="1"/>
    </xf>
    <xf numFmtId="164" fontId="26" fillId="26" borderId="0" xfId="0" applyNumberFormat="1" applyFont="1" applyFill="1" applyAlignment="1">
      <alignment vertical="top" wrapText="1"/>
    </xf>
    <xf numFmtId="10" fontId="26" fillId="26" borderId="0" xfId="0" applyNumberFormat="1" applyFont="1" applyFill="1" applyAlignment="1">
      <alignment vertical="top" wrapText="1"/>
    </xf>
    <xf numFmtId="164" fontId="25" fillId="26" borderId="0" xfId="0" applyNumberFormat="1" applyFont="1" applyFill="1" applyAlignment="1">
      <alignment vertical="top" wrapText="1"/>
    </xf>
    <xf numFmtId="4" fontId="26" fillId="26" borderId="0" xfId="0" applyNumberFormat="1" applyFont="1" applyFill="1" applyAlignment="1">
      <alignment vertical="top" wrapText="1"/>
    </xf>
    <xf numFmtId="4" fontId="25" fillId="26" borderId="0" xfId="0" applyNumberFormat="1" applyFont="1" applyFill="1" applyAlignment="1">
      <alignment vertical="top" wrapText="1"/>
    </xf>
    <xf numFmtId="164" fontId="26" fillId="27" borderId="0" xfId="0" applyNumberFormat="1" applyFont="1" applyFill="1" applyAlignment="1">
      <alignment vertical="top" wrapText="1"/>
    </xf>
    <xf numFmtId="10" fontId="26" fillId="27" borderId="0" xfId="0" applyNumberFormat="1" applyFont="1" applyFill="1" applyAlignment="1">
      <alignment vertical="top" wrapText="1"/>
    </xf>
    <xf numFmtId="164" fontId="25" fillId="27" borderId="0" xfId="0" applyNumberFormat="1" applyFont="1" applyFill="1" applyAlignment="1">
      <alignment vertical="top" wrapText="1"/>
    </xf>
    <xf numFmtId="4" fontId="26" fillId="27" borderId="0" xfId="0" applyNumberFormat="1" applyFont="1" applyFill="1" applyAlignment="1">
      <alignment vertical="top" wrapText="1"/>
    </xf>
    <xf numFmtId="4" fontId="25" fillId="27" borderId="0" xfId="0" applyNumberFormat="1" applyFont="1" applyFill="1" applyAlignment="1">
      <alignment vertical="top" wrapText="1"/>
    </xf>
    <xf numFmtId="0" fontId="26" fillId="27" borderId="0" xfId="0" applyFont="1" applyFill="1" applyAlignment="1">
      <alignment vertical="top" wrapText="1"/>
    </xf>
    <xf numFmtId="0" fontId="12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0" fillId="0" borderId="0" xfId="0"/>
    <xf numFmtId="0" fontId="13" fillId="8" borderId="16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24" fillId="12" borderId="14" xfId="0" applyFont="1" applyFill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0" borderId="17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0" xfId="0" applyFont="1" applyAlignment="1">
      <alignment wrapText="1"/>
    </xf>
    <xf numFmtId="0" fontId="1" fillId="0" borderId="2" xfId="0" applyFont="1" applyBorder="1" applyAlignment="1">
      <alignment vertical="top" wrapText="1"/>
    </xf>
    <xf numFmtId="0" fontId="23" fillId="0" borderId="27" xfId="0" applyFont="1" applyBorder="1" applyAlignment="1">
      <alignment wrapText="1"/>
    </xf>
    <xf numFmtId="0" fontId="12" fillId="2" borderId="16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18" borderId="3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top" wrapText="1"/>
    </xf>
    <xf numFmtId="0" fontId="10" fillId="19" borderId="0" xfId="0" applyFont="1" applyFill="1" applyAlignment="1">
      <alignment horizontal="left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1" fillId="0" borderId="6" xfId="0" applyFont="1" applyBorder="1" applyAlignment="1">
      <alignment vertical="top" wrapText="1"/>
    </xf>
    <xf numFmtId="164" fontId="11" fillId="14" borderId="7" xfId="0" applyNumberFormat="1" applyFont="1" applyFill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10" fontId="11" fillId="14" borderId="11" xfId="0" applyNumberFormat="1" applyFont="1" applyFill="1" applyBorder="1" applyAlignment="1">
      <alignment vertical="top" wrapText="1"/>
    </xf>
    <xf numFmtId="10" fontId="11" fillId="14" borderId="9" xfId="0" applyNumberFormat="1" applyFont="1" applyFill="1" applyBorder="1" applyAlignment="1">
      <alignment vertical="top" wrapText="1"/>
    </xf>
    <xf numFmtId="0" fontId="10" fillId="17" borderId="0" xfId="0" applyFont="1" applyFill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11" fillId="16" borderId="4" xfId="0" applyFont="1" applyFill="1" applyBorder="1" applyAlignment="1">
      <alignment vertical="top" wrapText="1"/>
    </xf>
    <xf numFmtId="0" fontId="11" fillId="16" borderId="5" xfId="0" applyFont="1" applyFill="1" applyBorder="1" applyAlignment="1">
      <alignment vertical="top" wrapText="1"/>
    </xf>
    <xf numFmtId="0" fontId="9" fillId="13" borderId="0" xfId="0" applyFont="1" applyFill="1" applyAlignment="1">
      <alignment horizontal="center" wrapText="1"/>
    </xf>
    <xf numFmtId="0" fontId="4" fillId="12" borderId="14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top" wrapText="1"/>
    </xf>
    <xf numFmtId="0" fontId="13" fillId="8" borderId="0" xfId="0" applyFont="1" applyFill="1" applyAlignment="1">
      <alignment horizontal="center" vertical="top" wrapText="1"/>
    </xf>
    <xf numFmtId="0" fontId="13" fillId="8" borderId="17" xfId="0" applyFont="1" applyFill="1" applyBorder="1" applyAlignment="1">
      <alignment horizontal="center" vertical="top" wrapText="1"/>
    </xf>
    <xf numFmtId="0" fontId="13" fillId="8" borderId="14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'Math Formulas'!$G$9:$G$10</c:f>
              <c:strCache>
                <c:ptCount val="2"/>
                <c:pt idx="0">
                  <c:v>Interest Portion</c:v>
                </c:pt>
                <c:pt idx="1">
                  <c:v>Principal Portion</c:v>
                </c:pt>
              </c:strCache>
            </c:strRef>
          </c:cat>
          <c:val>
            <c:numRef>
              <c:f>'Math Formulas'!$H$9:$H$10</c:f>
              <c:numCache>
                <c:formatCode>\$#,##0.00</c:formatCode>
                <c:ptCount val="2"/>
                <c:pt idx="0">
                  <c:v>785.95499999999993</c:v>
                </c:pt>
                <c:pt idx="1">
                  <c:v>278.08500000000004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E-40FC-AD28-88A7CFD72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Amount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'Math Formulas'!$G$32:$G$34</c:f>
              <c:strCache>
                <c:ptCount val="3"/>
                <c:pt idx="0">
                  <c:v>Front Limit</c:v>
                </c:pt>
                <c:pt idx="1">
                  <c:v>Back Housing Limit</c:v>
                </c:pt>
                <c:pt idx="2">
                  <c:v>Qualifying Payment</c:v>
                </c:pt>
              </c:strCache>
            </c:strRef>
          </c:cat>
          <c:val>
            <c:numRef>
              <c:f>'Math Formulas'!$H$32:$H$34</c:f>
              <c:numCache>
                <c:formatCode>\$#,##0.00</c:formatCode>
                <c:ptCount val="3"/>
                <c:pt idx="0">
                  <c:v>3692.5000000000005</c:v>
                </c:pt>
                <c:pt idx="1">
                  <c:v>2981.5</c:v>
                </c:pt>
                <c:pt idx="2">
                  <c:v>2981.5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6-42DA-805A-DDAC4C1A5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Payment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invertIfNegative val="1"/>
          <c:cat>
            <c:strRef>
              <c:f>Qualifying!$G$5:$G$8</c:f>
              <c:strCache>
                <c:ptCount val="4"/>
                <c:pt idx="0">
                  <c:v>Front Limit</c:v>
                </c:pt>
                <c:pt idx="1">
                  <c:v>Back Housing Limit</c:v>
                </c:pt>
                <c:pt idx="2">
                  <c:v>Qualifying Payment</c:v>
                </c:pt>
                <c:pt idx="3">
                  <c:v>Monthly Debts</c:v>
                </c:pt>
              </c:strCache>
            </c:strRef>
          </c:cat>
          <c:val>
            <c:numRef>
              <c:f>Qualifying!$H$5:$H$8</c:f>
              <c:numCache>
                <c:formatCode>\$#,##0.00</c:formatCode>
                <c:ptCount val="4"/>
                <c:pt idx="0">
                  <c:v>3692.5000000000005</c:v>
                </c:pt>
                <c:pt idx="1">
                  <c:v>2981.5</c:v>
                </c:pt>
                <c:pt idx="2">
                  <c:v>2981.5</c:v>
                </c:pt>
                <c:pt idx="3">
                  <c:v>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A-4D78-B264-CD2BDCAD5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Amount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11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ConceptsExpandedTable" displayName="ConceptsExpandedTable" ref="A3:H108">
  <tableColumns count="8">
    <tableColumn id="1" xr3:uid="{00000000-0010-0000-0000-000001000000}" name="Module Area"/>
    <tableColumn id="2" xr3:uid="{00000000-0010-0000-0000-000002000000}" name="Concept"/>
    <tableColumn id="3" xr3:uid="{00000000-0010-0000-0000-000003000000}" name="Plain-English Definition"/>
    <tableColumn id="4" xr3:uid="{00000000-0010-0000-0000-000004000000}" name="Exam Trigger / What They Ask"/>
    <tableColumn id="5" xr3:uid="{00000000-0010-0000-0000-000005000000}" name="Memory Hook / Correct Answer"/>
    <tableColumn id="6" xr3:uid="{00000000-0010-0000-0000-000006000000}" name="Priority"/>
    <tableColumn id="7" xr3:uid="{00000000-0010-0000-0000-000007000000}" name="Source URL / Evidence"/>
    <tableColumn id="8" xr3:uid="{00000000-0010-0000-0000-000008000000}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E2ModuleTermsTable" displayName="RE2ModuleTermsTable" ref="A9:H40">
  <tableColumns count="8">
    <tableColumn id="1" xr3:uid="{00000000-0010-0000-0100-000001000000}" name="Module Area"/>
    <tableColumn id="2" xr3:uid="{00000000-0010-0000-0100-000002000000}" name="Term / Topic"/>
    <tableColumn id="3" xr3:uid="{00000000-0010-0000-0100-000003000000}" name="Answer / Definition"/>
    <tableColumn id="4" xr3:uid="{00000000-0010-0000-0100-000004000000}" name="Exam Trigger / Memory Hook"/>
    <tableColumn id="5" xr3:uid="{00000000-0010-0000-0100-000005000000}" name="Mastered?"/>
    <tableColumn id="6" xr3:uid="{00000000-0010-0000-0100-000006000000}" name="Source URL / Evidence"/>
    <tableColumn id="7" xr3:uid="{00000000-0010-0000-0100-000007000000}" name="Source Note"/>
    <tableColumn id="8" xr3:uid="{00000000-0010-0000-0100-000008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E2ModuleQuizTable" displayName="RE2ModuleQuizTable" ref="A46:J61">
  <tableColumns count="10">
    <tableColumn id="1" xr3:uid="{00000000-0010-0000-0200-000001000000}" name="#"/>
    <tableColumn id="2" xr3:uid="{00000000-0010-0000-0200-000002000000}" name="Category"/>
    <tableColumn id="3" xr3:uid="{00000000-0010-0000-0200-000003000000}" name="Question"/>
    <tableColumn id="4" xr3:uid="{00000000-0010-0000-0200-000004000000}" name="Option A"/>
    <tableColumn id="5" xr3:uid="{00000000-0010-0000-0200-000005000000}" name="Option B"/>
    <tableColumn id="6" xr3:uid="{00000000-0010-0000-0200-000006000000}" name="Option C"/>
    <tableColumn id="7" xr3:uid="{00000000-0010-0000-0200-000007000000}" name="Option D"/>
    <tableColumn id="8" xr3:uid="{00000000-0010-0000-0200-000008000000}" name="Correct Answer"/>
    <tableColumn id="9" xr3:uid="{00000000-0010-0000-0200-000009000000}" name="Explanation"/>
    <tableColumn id="10" xr3:uid="{00000000-0010-0000-0200-00000A000000}" name="Mastered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E2FlashcardsTable" displayName="RE2FlashcardsTable" ref="A3:C21">
  <tableColumns count="3">
    <tableColumn id="1" xr3:uid="{00000000-0010-0000-0300-000001000000}" name="Term"/>
    <tableColumn id="2" xr3:uid="{00000000-0010-0000-0300-000002000000}" name="Definition"/>
    <tableColumn id="3" xr3:uid="{00000000-0010-0000-0300-000003000000}" name="Source /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SourceNotesTable" displayName="SourceNotesTable" ref="A3:E13">
  <tableColumns count="5">
    <tableColumn id="1" xr3:uid="{00000000-0010-0000-0400-000001000000}" name="Source Type"/>
    <tableColumn id="2" xr3:uid="{00000000-0010-0000-0400-000002000000}" name="Source Name"/>
    <tableColumn id="3" xr3:uid="{00000000-0010-0000-0400-000003000000}" name="Use"/>
    <tableColumn id="4" xr3:uid="{00000000-0010-0000-0400-000004000000}" name="What Was Pulled / Issue"/>
    <tableColumn id="5" xr3:uid="{00000000-0010-0000-0400-000005000000}" name="URL or 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2FullConceptsTable" displayName="RE2FullConceptsTable" ref="A3:H108">
  <tableColumns count="8">
    <tableColumn id="1" xr3:uid="{00000000-0010-0000-0500-000001000000}" name="Module Area"/>
    <tableColumn id="2" xr3:uid="{00000000-0010-0000-0500-000002000000}" name="Concept"/>
    <tableColumn id="3" xr3:uid="{00000000-0010-0000-0500-000003000000}" name="Plain-English Definition"/>
    <tableColumn id="4" xr3:uid="{00000000-0010-0000-0500-000004000000}" name="Exam Trigger / What They Ask"/>
    <tableColumn id="5" xr3:uid="{00000000-0010-0000-0500-000005000000}" name="Memory Hook / Correct Answer"/>
    <tableColumn id="6" xr3:uid="{00000000-0010-0000-0500-000006000000}" name="Priority"/>
    <tableColumn id="7" xr3:uid="{00000000-0010-0000-0500-000007000000}" name="Source URL / Evidence"/>
    <tableColumn id="8" xr3:uid="{00000000-0010-0000-0500-000008000000}" name="Confid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fessorAIConceptsTable" displayName="ProfessorAIConceptsTable" ref="A1:H106">
  <tableColumns count="8">
    <tableColumn id="1" xr3:uid="{00000000-0010-0000-0600-000001000000}" name="Module Area"/>
    <tableColumn id="2" xr3:uid="{00000000-0010-0000-0600-000002000000}" name="Concept"/>
    <tableColumn id="3" xr3:uid="{00000000-0010-0000-0600-000003000000}" name="Plain-English Definition"/>
    <tableColumn id="4" xr3:uid="{00000000-0010-0000-0600-000004000000}" name="Exam Trigger / What They Ask"/>
    <tableColumn id="5" xr3:uid="{00000000-0010-0000-0600-000005000000}" name="Memory Hook / Correct Answer"/>
    <tableColumn id="6" xr3:uid="{00000000-0010-0000-0600-000006000000}" name="Priority"/>
    <tableColumn id="7" xr3:uid="{00000000-0010-0000-0600-000007000000}" name="Source / Evidence"/>
    <tableColumn id="8" xr3:uid="{00000000-0010-0000-0600-000008000000}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fessorAIQuestionsTable" displayName="ProfessorAIQuestionsTable" ref="A1:K39">
  <tableColumns count="11">
    <tableColumn id="1" xr3:uid="{00000000-0010-0000-0700-000001000000}" name="#"/>
    <tableColumn id="2" xr3:uid="{00000000-0010-0000-0700-000002000000}" name="Category"/>
    <tableColumn id="3" xr3:uid="{00000000-0010-0000-0700-000003000000}" name="Type"/>
    <tableColumn id="4" xr3:uid="{00000000-0010-0000-0700-000004000000}" name="Question"/>
    <tableColumn id="5" xr3:uid="{00000000-0010-0000-0700-000005000000}" name="Option A"/>
    <tableColumn id="6" xr3:uid="{00000000-0010-0000-0700-000006000000}" name="Option B"/>
    <tableColumn id="7" xr3:uid="{00000000-0010-0000-0700-000007000000}" name="Option C"/>
    <tableColumn id="8" xr3:uid="{00000000-0010-0000-0700-000008000000}" name="Option D"/>
    <tableColumn id="9" xr3:uid="{00000000-0010-0000-0700-000009000000}" name="Correct Answer"/>
    <tableColumn id="10" xr3:uid="{00000000-0010-0000-0700-00000A000000}" name="Explanation"/>
    <tableColumn id="11" xr3:uid="{00000000-0010-0000-0700-00000B000000}" name="Sour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fessorAIFlashcardsTable" displayName="ProfessorAIFlashcardsTable" ref="A1:C106">
  <tableColumns count="3">
    <tableColumn id="1" xr3:uid="{00000000-0010-0000-0800-000001000000}" name="Term"/>
    <tableColumn id="2" xr3:uid="{00000000-0010-0000-0800-000002000000}" name="Definition"/>
    <tableColumn id="3" xr3:uid="{00000000-0010-0000-0800-000003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Professional Blue Green">
  <a:themeElements>
    <a:clrScheme name="Professional Blue Green">
      <a:dk1>
        <a:srgbClr val="000000"/>
      </a:dk1>
      <a:lt1>
        <a:srgbClr val="FFFFFF"/>
      </a:lt1>
      <a:dk2>
        <a:srgbClr val="000000"/>
      </a:dk2>
      <a:lt2>
        <a:srgbClr val="F3F6F8"/>
      </a:lt2>
      <a:accent1>
        <a:srgbClr val="1F4E78"/>
      </a:accent1>
      <a:accent2>
        <a:srgbClr val="5B9BD5"/>
      </a:accent2>
      <a:accent3>
        <a:srgbClr val="70AD47"/>
      </a:accent3>
      <a:accent4>
        <a:srgbClr val="FFC000"/>
      </a:accent4>
      <a:accent5>
        <a:srgbClr val="A5A5A5"/>
      </a:accent5>
      <a:accent6>
        <a:srgbClr val="ED7D31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rofessional Blue Gree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opLeftCell="A12" workbookViewId="0">
      <selection activeCell="H8" sqref="H8"/>
    </sheetView>
  </sheetViews>
  <sheetFormatPr defaultColWidth="14.42578125" defaultRowHeight="15"/>
  <cols>
    <col min="1" max="1" width="30" customWidth="1"/>
    <col min="2" max="2" width="90" customWidth="1"/>
    <col min="3" max="26" width="8.7109375" customWidth="1"/>
  </cols>
  <sheetData>
    <row r="1" spans="1:4" ht="19.149999999999999" customHeight="1">
      <c r="A1" s="155" t="s">
        <v>0</v>
      </c>
      <c r="B1" s="156"/>
      <c r="C1" s="157"/>
      <c r="D1" s="157"/>
    </row>
    <row r="2" spans="1:4">
      <c r="A2" s="56"/>
      <c r="B2" s="57"/>
    </row>
    <row r="3" spans="1:4" ht="15" customHeight="1">
      <c r="A3" s="58" t="s">
        <v>1</v>
      </c>
      <c r="B3" s="57"/>
    </row>
    <row r="4" spans="1:4" ht="15" customHeight="1">
      <c r="A4" s="58" t="s">
        <v>2</v>
      </c>
      <c r="B4" s="57"/>
    </row>
    <row r="5" spans="1:4" ht="15" customHeight="1">
      <c r="A5" s="58" t="s">
        <v>3</v>
      </c>
      <c r="B5" s="57"/>
    </row>
    <row r="6" spans="1:4">
      <c r="A6" s="56"/>
      <c r="B6" s="57"/>
    </row>
    <row r="7" spans="1:4" ht="15" customHeight="1">
      <c r="A7" s="59" t="s">
        <v>4</v>
      </c>
      <c r="B7" s="60" t="s">
        <v>5</v>
      </c>
    </row>
    <row r="8" spans="1:4" ht="15" customHeight="1">
      <c r="A8" s="61" t="s">
        <v>6</v>
      </c>
      <c r="B8" s="62" t="s">
        <v>7</v>
      </c>
    </row>
    <row r="9" spans="1:4" ht="15" customHeight="1">
      <c r="A9" s="61" t="s">
        <v>8</v>
      </c>
      <c r="B9" s="62" t="s">
        <v>9</v>
      </c>
    </row>
    <row r="10" spans="1:4" ht="15" customHeight="1">
      <c r="A10" s="61" t="s">
        <v>10</v>
      </c>
      <c r="B10" s="62" t="s">
        <v>671</v>
      </c>
    </row>
    <row r="11" spans="1:4" ht="15" customHeight="1">
      <c r="A11" s="61" t="s">
        <v>11</v>
      </c>
      <c r="B11" s="62" t="s">
        <v>12</v>
      </c>
    </row>
    <row r="12" spans="1:4" ht="15" customHeight="1">
      <c r="A12" s="61" t="s">
        <v>13</v>
      </c>
      <c r="B12" s="62" t="s">
        <v>14</v>
      </c>
    </row>
    <row r="13" spans="1:4" ht="15" customHeight="1">
      <c r="A13" s="61" t="s">
        <v>15</v>
      </c>
      <c r="B13" s="62" t="s">
        <v>16</v>
      </c>
    </row>
    <row r="14" spans="1:4" ht="15" customHeight="1">
      <c r="A14" s="61" t="s">
        <v>17</v>
      </c>
      <c r="B14" s="62" t="s">
        <v>18</v>
      </c>
    </row>
    <row r="15" spans="1:4" ht="15" customHeight="1">
      <c r="A15" s="61" t="s">
        <v>19</v>
      </c>
      <c r="B15" s="62" t="s">
        <v>20</v>
      </c>
    </row>
    <row r="16" spans="1:4" ht="15" customHeight="1">
      <c r="A16" s="61" t="s">
        <v>21</v>
      </c>
      <c r="B16" s="62" t="s">
        <v>22</v>
      </c>
    </row>
    <row r="17" spans="1:2" ht="26.45" customHeight="1">
      <c r="A17" s="63" t="s">
        <v>672</v>
      </c>
      <c r="B17" s="64" t="s">
        <v>673</v>
      </c>
    </row>
    <row r="18" spans="1:2" ht="15" customHeight="1">
      <c r="A18" s="56" t="s">
        <v>674</v>
      </c>
      <c r="B18" s="57" t="s">
        <v>675</v>
      </c>
    </row>
    <row r="19" spans="1:2" ht="15" customHeight="1">
      <c r="A19" s="56" t="s">
        <v>676</v>
      </c>
      <c r="B19" s="57" t="s">
        <v>677</v>
      </c>
    </row>
    <row r="20" spans="1:2" ht="15" customHeight="1">
      <c r="A20" s="56" t="s">
        <v>678</v>
      </c>
      <c r="B20" s="57" t="s">
        <v>679</v>
      </c>
    </row>
    <row r="21" spans="1:2" ht="15" customHeight="1">
      <c r="A21" s="56"/>
      <c r="B21" s="57"/>
    </row>
    <row r="22" spans="1:2" ht="26.45" customHeight="1">
      <c r="A22" s="63" t="s">
        <v>680</v>
      </c>
      <c r="B22" s="64" t="s">
        <v>681</v>
      </c>
    </row>
    <row r="23" spans="1:2" ht="15" customHeight="1">
      <c r="A23" s="65" t="s">
        <v>682</v>
      </c>
      <c r="B23" s="57" t="s">
        <v>683</v>
      </c>
    </row>
    <row r="24" spans="1:2" ht="15.75" customHeight="1">
      <c r="A24" s="66" t="s">
        <v>684</v>
      </c>
      <c r="B24" s="67" t="s">
        <v>685</v>
      </c>
    </row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opLeftCell="A35" workbookViewId="0"/>
  </sheetViews>
  <sheetFormatPr defaultColWidth="14.42578125" defaultRowHeight="15"/>
  <cols>
    <col min="1" max="1" width="18" customWidth="1"/>
    <col min="2" max="2" width="25" customWidth="1"/>
    <col min="3" max="3" width="48" customWidth="1"/>
    <col min="4" max="4" width="40" customWidth="1"/>
    <col min="5" max="5" width="14" customWidth="1"/>
    <col min="6" max="6" width="38" customWidth="1"/>
    <col min="7" max="7" width="24" customWidth="1"/>
    <col min="8" max="8" width="12" customWidth="1"/>
  </cols>
  <sheetData>
    <row r="1" spans="1:8" ht="15" customHeight="1">
      <c r="A1" s="69"/>
      <c r="B1" s="70"/>
      <c r="C1" s="70"/>
      <c r="D1" s="70"/>
      <c r="E1" s="70"/>
      <c r="F1" s="70"/>
      <c r="G1" s="70"/>
      <c r="H1" s="55"/>
    </row>
    <row r="2" spans="1:8" ht="15" customHeight="1">
      <c r="A2" s="71" t="s">
        <v>23</v>
      </c>
      <c r="B2" s="44"/>
      <c r="C2" s="44"/>
      <c r="D2" s="44"/>
      <c r="E2" s="44"/>
      <c r="F2" s="44"/>
      <c r="G2" s="44"/>
      <c r="H2" s="57"/>
    </row>
    <row r="3" spans="1:8" ht="15" customHeight="1">
      <c r="A3" s="72" t="s">
        <v>24</v>
      </c>
      <c r="B3" s="44"/>
      <c r="C3" s="44"/>
      <c r="D3" s="44"/>
      <c r="E3" s="44"/>
      <c r="F3" s="44"/>
      <c r="G3" s="44"/>
      <c r="H3" s="57"/>
    </row>
    <row r="4" spans="1:8" ht="15" customHeight="1">
      <c r="A4" s="73"/>
      <c r="B4" s="44"/>
      <c r="C4" s="44"/>
      <c r="D4" s="44"/>
      <c r="E4" s="44"/>
      <c r="F4" s="44"/>
      <c r="G4" s="44"/>
      <c r="H4" s="57"/>
    </row>
    <row r="5" spans="1:8" ht="15" customHeight="1">
      <c r="A5" s="73" t="s">
        <v>25</v>
      </c>
      <c r="B5" s="44"/>
      <c r="C5" s="44"/>
      <c r="D5" s="44"/>
      <c r="E5" s="44"/>
      <c r="F5" s="44"/>
      <c r="G5" s="44"/>
      <c r="H5" s="57"/>
    </row>
    <row r="6" spans="1:8" ht="15" customHeight="1">
      <c r="A6" s="73"/>
      <c r="B6" s="44"/>
      <c r="C6" s="44"/>
      <c r="D6" s="44"/>
      <c r="E6" s="44"/>
      <c r="F6" s="44"/>
      <c r="G6" s="44"/>
      <c r="H6" s="57"/>
    </row>
    <row r="7" spans="1:8" ht="15" customHeight="1">
      <c r="A7" s="74" t="s">
        <v>26</v>
      </c>
      <c r="B7" s="44"/>
      <c r="C7" s="44"/>
      <c r="D7" s="44"/>
      <c r="E7" s="44"/>
      <c r="F7" s="44"/>
      <c r="G7" s="44"/>
      <c r="H7" s="57"/>
    </row>
    <row r="8" spans="1:8" ht="15" customHeight="1">
      <c r="A8" s="75" t="s">
        <v>27</v>
      </c>
      <c r="B8" s="44"/>
      <c r="C8" s="44"/>
      <c r="D8" s="44"/>
      <c r="E8" s="44"/>
      <c r="F8" s="44"/>
      <c r="G8" s="44"/>
      <c r="H8" s="57"/>
    </row>
    <row r="9" spans="1:8" ht="15" customHeight="1">
      <c r="A9" s="75"/>
      <c r="B9" s="44"/>
      <c r="C9" s="44"/>
      <c r="D9" s="44"/>
      <c r="E9" s="44"/>
      <c r="F9" s="44"/>
      <c r="G9" s="44"/>
      <c r="H9" s="57"/>
    </row>
    <row r="10" spans="1:8" ht="15" customHeight="1">
      <c r="A10" s="75" t="s">
        <v>28</v>
      </c>
      <c r="B10" s="44"/>
      <c r="C10" s="44"/>
      <c r="D10" s="44"/>
      <c r="E10" s="44"/>
      <c r="F10" s="44"/>
      <c r="G10" s="44"/>
      <c r="H10" s="57"/>
    </row>
    <row r="11" spans="1:8" ht="15" customHeight="1">
      <c r="A11" s="75"/>
      <c r="B11" s="44"/>
      <c r="C11" s="44"/>
      <c r="D11" s="44"/>
      <c r="E11" s="44"/>
      <c r="F11" s="44"/>
      <c r="G11" s="44"/>
      <c r="H11" s="57"/>
    </row>
    <row r="12" spans="1:8" ht="15" customHeight="1">
      <c r="A12" s="75" t="s">
        <v>29</v>
      </c>
      <c r="B12" s="44"/>
      <c r="C12" s="44"/>
      <c r="D12" s="44"/>
      <c r="E12" s="44"/>
      <c r="F12" s="44"/>
      <c r="G12" s="44"/>
      <c r="H12" s="57"/>
    </row>
    <row r="13" spans="1:8" ht="15" customHeight="1">
      <c r="A13" s="75" t="s">
        <v>30</v>
      </c>
      <c r="B13" s="44"/>
      <c r="C13" s="44"/>
      <c r="D13" s="44"/>
      <c r="E13" s="44"/>
      <c r="F13" s="44"/>
      <c r="G13" s="44"/>
      <c r="H13" s="57"/>
    </row>
    <row r="14" spans="1:8" ht="15" customHeight="1">
      <c r="A14" s="75" t="s">
        <v>31</v>
      </c>
      <c r="B14" s="44"/>
      <c r="C14" s="44"/>
      <c r="D14" s="44"/>
      <c r="E14" s="44"/>
      <c r="F14" s="44"/>
      <c r="G14" s="44"/>
      <c r="H14" s="57"/>
    </row>
    <row r="15" spans="1:8" ht="15" customHeight="1">
      <c r="A15" s="75" t="s">
        <v>32</v>
      </c>
      <c r="B15" s="44"/>
      <c r="C15" s="44"/>
      <c r="D15" s="44"/>
      <c r="E15" s="44"/>
      <c r="F15" s="44"/>
      <c r="G15" s="44"/>
      <c r="H15" s="57"/>
    </row>
    <row r="16" spans="1:8" ht="15" customHeight="1">
      <c r="A16" s="75" t="s">
        <v>33</v>
      </c>
      <c r="B16" s="44"/>
      <c r="C16" s="44"/>
      <c r="D16" s="44"/>
      <c r="E16" s="44"/>
      <c r="F16" s="44"/>
      <c r="G16" s="44"/>
      <c r="H16" s="57"/>
    </row>
    <row r="17" spans="1:8" ht="15" customHeight="1">
      <c r="A17" s="75" t="s">
        <v>34</v>
      </c>
      <c r="B17" s="44"/>
      <c r="C17" s="44"/>
      <c r="D17" s="44"/>
      <c r="E17" s="44"/>
      <c r="F17" s="44"/>
      <c r="G17" s="44"/>
      <c r="H17" s="57"/>
    </row>
    <row r="18" spans="1:8" ht="15" customHeight="1">
      <c r="A18" s="75" t="s">
        <v>35</v>
      </c>
      <c r="B18" s="44"/>
      <c r="C18" s="44"/>
      <c r="D18" s="44"/>
      <c r="E18" s="44"/>
      <c r="F18" s="44"/>
      <c r="G18" s="44"/>
      <c r="H18" s="57"/>
    </row>
    <row r="19" spans="1:8" ht="15" customHeight="1">
      <c r="A19" s="75" t="s">
        <v>36</v>
      </c>
      <c r="B19" s="44"/>
      <c r="C19" s="44"/>
      <c r="D19" s="44"/>
      <c r="E19" s="44"/>
      <c r="F19" s="44"/>
      <c r="G19" s="44"/>
      <c r="H19" s="57"/>
    </row>
    <row r="20" spans="1:8" ht="15" customHeight="1">
      <c r="A20" s="75" t="s">
        <v>37</v>
      </c>
      <c r="B20" s="44"/>
      <c r="C20" s="44"/>
      <c r="D20" s="44"/>
      <c r="E20" s="44"/>
      <c r="F20" s="44"/>
      <c r="G20" s="44"/>
      <c r="H20" s="57"/>
    </row>
    <row r="21" spans="1:8" ht="15" customHeight="1">
      <c r="A21" s="75" t="s">
        <v>38</v>
      </c>
      <c r="B21" s="44"/>
      <c r="C21" s="44"/>
      <c r="D21" s="44"/>
      <c r="E21" s="44"/>
      <c r="F21" s="44"/>
      <c r="G21" s="44"/>
      <c r="H21" s="57"/>
    </row>
    <row r="22" spans="1:8" ht="15" customHeight="1">
      <c r="A22" s="75" t="s">
        <v>39</v>
      </c>
      <c r="B22" s="44"/>
      <c r="C22" s="44"/>
      <c r="D22" s="44"/>
      <c r="E22" s="44"/>
      <c r="F22" s="44"/>
      <c r="G22" s="44"/>
      <c r="H22" s="57"/>
    </row>
    <row r="23" spans="1:8" ht="15" customHeight="1">
      <c r="A23" s="75" t="s">
        <v>40</v>
      </c>
      <c r="B23" s="44"/>
      <c r="C23" s="44"/>
      <c r="D23" s="44"/>
      <c r="E23" s="44"/>
      <c r="F23" s="44"/>
      <c r="G23" s="44"/>
      <c r="H23" s="57"/>
    </row>
    <row r="24" spans="1:8" ht="15" customHeight="1">
      <c r="A24" s="75" t="s">
        <v>41</v>
      </c>
      <c r="B24" s="44"/>
      <c r="C24" s="44"/>
      <c r="D24" s="44"/>
      <c r="E24" s="44"/>
      <c r="F24" s="44"/>
      <c r="G24" s="44"/>
      <c r="H24" s="57"/>
    </row>
    <row r="25" spans="1:8">
      <c r="A25" s="56"/>
      <c r="B25" s="44"/>
      <c r="C25" s="44"/>
      <c r="D25" s="44"/>
      <c r="E25" s="44"/>
      <c r="F25" s="44"/>
      <c r="G25" s="44"/>
      <c r="H25" s="57"/>
    </row>
    <row r="26" spans="1:8">
      <c r="A26" s="56"/>
      <c r="B26" s="44"/>
      <c r="C26" s="44"/>
      <c r="D26" s="44"/>
      <c r="E26" s="44"/>
      <c r="F26" s="44"/>
      <c r="G26" s="44"/>
      <c r="H26" s="57"/>
    </row>
    <row r="27" spans="1:8" ht="16.7" customHeight="1">
      <c r="A27" s="158" t="s">
        <v>686</v>
      </c>
      <c r="B27" s="159"/>
      <c r="C27" s="159"/>
      <c r="D27" s="159"/>
      <c r="E27" s="159"/>
      <c r="F27" s="159"/>
      <c r="G27" s="159"/>
      <c r="H27" s="160"/>
    </row>
    <row r="28" spans="1:8" ht="15" customHeight="1">
      <c r="A28" s="78" t="s">
        <v>687</v>
      </c>
      <c r="B28" s="68"/>
      <c r="C28" s="68"/>
      <c r="D28" s="68"/>
      <c r="E28" s="68"/>
      <c r="F28" s="68"/>
      <c r="G28" s="68"/>
      <c r="H28" s="79"/>
    </row>
    <row r="29" spans="1:8">
      <c r="A29" s="56"/>
      <c r="B29" s="44"/>
      <c r="C29" s="44"/>
      <c r="D29" s="44"/>
      <c r="E29" s="44"/>
      <c r="F29" s="44"/>
      <c r="G29" s="44"/>
      <c r="H29" s="57"/>
    </row>
    <row r="30" spans="1:8" ht="15" customHeight="1">
      <c r="A30" s="63" t="s">
        <v>688</v>
      </c>
      <c r="B30" s="54" t="s">
        <v>689</v>
      </c>
      <c r="C30" s="54" t="s">
        <v>690</v>
      </c>
      <c r="D30" s="54" t="s">
        <v>691</v>
      </c>
      <c r="E30" s="54" t="s">
        <v>692</v>
      </c>
      <c r="F30" s="54" t="s">
        <v>693</v>
      </c>
      <c r="G30" s="54" t="s">
        <v>694</v>
      </c>
      <c r="H30" s="64" t="s">
        <v>695</v>
      </c>
    </row>
    <row r="31" spans="1:8" ht="26.45" customHeight="1">
      <c r="A31" s="56" t="s">
        <v>696</v>
      </c>
      <c r="B31" s="44" t="s">
        <v>697</v>
      </c>
      <c r="C31" s="44" t="s">
        <v>698</v>
      </c>
      <c r="D31" s="44" t="s">
        <v>699</v>
      </c>
      <c r="E31" s="44" t="s">
        <v>700</v>
      </c>
      <c r="F31" s="44" t="s">
        <v>701</v>
      </c>
      <c r="G31" s="44" t="s">
        <v>702</v>
      </c>
      <c r="H31" s="57" t="s">
        <v>703</v>
      </c>
    </row>
    <row r="32" spans="1:8" ht="26.45" customHeight="1">
      <c r="A32" s="56" t="s">
        <v>696</v>
      </c>
      <c r="B32" s="44" t="s">
        <v>704</v>
      </c>
      <c r="C32" s="44" t="s">
        <v>705</v>
      </c>
      <c r="D32" s="44" t="s">
        <v>706</v>
      </c>
      <c r="E32" s="44" t="s">
        <v>700</v>
      </c>
      <c r="F32" s="44" t="s">
        <v>707</v>
      </c>
      <c r="G32" s="44" t="s">
        <v>702</v>
      </c>
      <c r="H32" s="57" t="s">
        <v>703</v>
      </c>
    </row>
    <row r="33" spans="1:8" ht="26.45" customHeight="1">
      <c r="A33" s="56" t="s">
        <v>696</v>
      </c>
      <c r="B33" s="44" t="s">
        <v>708</v>
      </c>
      <c r="C33" s="44" t="s">
        <v>709</v>
      </c>
      <c r="D33" s="44" t="s">
        <v>710</v>
      </c>
      <c r="E33" s="44" t="s">
        <v>700</v>
      </c>
      <c r="F33" s="44" t="s">
        <v>707</v>
      </c>
      <c r="G33" s="44" t="s">
        <v>711</v>
      </c>
      <c r="H33" s="57" t="s">
        <v>703</v>
      </c>
    </row>
    <row r="34" spans="1:8" ht="26.45" customHeight="1">
      <c r="A34" s="56" t="s">
        <v>696</v>
      </c>
      <c r="B34" s="44" t="s">
        <v>712</v>
      </c>
      <c r="C34" s="44" t="s">
        <v>713</v>
      </c>
      <c r="D34" s="44" t="s">
        <v>714</v>
      </c>
      <c r="E34" s="44" t="s">
        <v>700</v>
      </c>
      <c r="F34" s="44" t="s">
        <v>701</v>
      </c>
      <c r="G34" s="44" t="s">
        <v>711</v>
      </c>
      <c r="H34" s="57" t="s">
        <v>703</v>
      </c>
    </row>
    <row r="35" spans="1:8" ht="52.7" customHeight="1">
      <c r="A35" s="56" t="s">
        <v>696</v>
      </c>
      <c r="B35" s="44" t="s">
        <v>715</v>
      </c>
      <c r="C35" s="44" t="s">
        <v>716</v>
      </c>
      <c r="D35" s="44" t="s">
        <v>717</v>
      </c>
      <c r="E35" s="44" t="s">
        <v>700</v>
      </c>
      <c r="F35" s="44" t="s">
        <v>701</v>
      </c>
      <c r="G35" s="44" t="s">
        <v>711</v>
      </c>
      <c r="H35" s="57" t="s">
        <v>703</v>
      </c>
    </row>
    <row r="36" spans="1:8" ht="39.6" customHeight="1">
      <c r="A36" s="56" t="s">
        <v>696</v>
      </c>
      <c r="B36" s="44" t="s">
        <v>718</v>
      </c>
      <c r="C36" s="44" t="s">
        <v>719</v>
      </c>
      <c r="D36" s="44" t="s">
        <v>720</v>
      </c>
      <c r="E36" s="44" t="s">
        <v>700</v>
      </c>
      <c r="F36" s="44" t="s">
        <v>721</v>
      </c>
      <c r="G36" s="44" t="s">
        <v>711</v>
      </c>
      <c r="H36" s="57" t="s">
        <v>703</v>
      </c>
    </row>
    <row r="37" spans="1:8" ht="39.6" customHeight="1">
      <c r="A37" s="56" t="s">
        <v>696</v>
      </c>
      <c r="B37" s="44" t="s">
        <v>722</v>
      </c>
      <c r="C37" s="44" t="s">
        <v>723</v>
      </c>
      <c r="D37" s="44" t="s">
        <v>724</v>
      </c>
      <c r="E37" s="44" t="s">
        <v>700</v>
      </c>
      <c r="F37" s="44" t="s">
        <v>707</v>
      </c>
      <c r="G37" s="44" t="s">
        <v>711</v>
      </c>
      <c r="H37" s="57" t="s">
        <v>703</v>
      </c>
    </row>
    <row r="38" spans="1:8" ht="52.7" customHeight="1">
      <c r="A38" s="56" t="s">
        <v>696</v>
      </c>
      <c r="B38" s="44" t="s">
        <v>725</v>
      </c>
      <c r="C38" s="44" t="s">
        <v>726</v>
      </c>
      <c r="D38" s="44" t="s">
        <v>727</v>
      </c>
      <c r="E38" s="44" t="s">
        <v>700</v>
      </c>
      <c r="F38" s="44" t="s">
        <v>701</v>
      </c>
      <c r="G38" s="44" t="s">
        <v>728</v>
      </c>
      <c r="H38" s="57" t="s">
        <v>703</v>
      </c>
    </row>
    <row r="39" spans="1:8" ht="39.6" customHeight="1">
      <c r="A39" s="56" t="s">
        <v>696</v>
      </c>
      <c r="B39" s="44" t="s">
        <v>729</v>
      </c>
      <c r="C39" s="44" t="s">
        <v>730</v>
      </c>
      <c r="D39" s="44" t="s">
        <v>731</v>
      </c>
      <c r="E39" s="44" t="s">
        <v>700</v>
      </c>
      <c r="F39" s="44" t="s">
        <v>701</v>
      </c>
      <c r="G39" s="44" t="s">
        <v>711</v>
      </c>
      <c r="H39" s="57" t="s">
        <v>703</v>
      </c>
    </row>
    <row r="40" spans="1:8" ht="39.6" customHeight="1">
      <c r="A40" s="56" t="s">
        <v>696</v>
      </c>
      <c r="B40" s="44" t="s">
        <v>732</v>
      </c>
      <c r="C40" s="44" t="s">
        <v>733</v>
      </c>
      <c r="D40" s="44" t="s">
        <v>734</v>
      </c>
      <c r="E40" s="44" t="s">
        <v>700</v>
      </c>
      <c r="F40" s="44" t="s">
        <v>701</v>
      </c>
      <c r="G40" s="44" t="s">
        <v>711</v>
      </c>
      <c r="H40" s="57" t="s">
        <v>703</v>
      </c>
    </row>
    <row r="41" spans="1:8" ht="39.6" customHeight="1">
      <c r="A41" s="56" t="s">
        <v>696</v>
      </c>
      <c r="B41" s="44" t="s">
        <v>735</v>
      </c>
      <c r="C41" s="44" t="s">
        <v>736</v>
      </c>
      <c r="D41" s="44" t="s">
        <v>737</v>
      </c>
      <c r="E41" s="44" t="s">
        <v>700</v>
      </c>
      <c r="F41" s="44" t="s">
        <v>707</v>
      </c>
      <c r="G41" s="44" t="s">
        <v>711</v>
      </c>
      <c r="H41" s="57" t="s">
        <v>703</v>
      </c>
    </row>
    <row r="42" spans="1:8" ht="26.45" customHeight="1">
      <c r="A42" s="56" t="s">
        <v>696</v>
      </c>
      <c r="B42" s="44" t="s">
        <v>738</v>
      </c>
      <c r="C42" s="44" t="s">
        <v>739</v>
      </c>
      <c r="D42" s="44" t="s">
        <v>740</v>
      </c>
      <c r="E42" s="44" t="s">
        <v>700</v>
      </c>
      <c r="F42" s="44" t="s">
        <v>707</v>
      </c>
      <c r="G42" s="44" t="s">
        <v>711</v>
      </c>
      <c r="H42" s="57" t="s">
        <v>703</v>
      </c>
    </row>
    <row r="43" spans="1:8" ht="39.6" customHeight="1">
      <c r="A43" s="56" t="s">
        <v>741</v>
      </c>
      <c r="B43" s="44" t="s">
        <v>742</v>
      </c>
      <c r="C43" s="44" t="s">
        <v>743</v>
      </c>
      <c r="D43" s="44" t="s">
        <v>744</v>
      </c>
      <c r="E43" s="44" t="s">
        <v>700</v>
      </c>
      <c r="F43" s="44" t="s">
        <v>745</v>
      </c>
      <c r="G43" s="44" t="s">
        <v>746</v>
      </c>
      <c r="H43" s="57" t="s">
        <v>703</v>
      </c>
    </row>
    <row r="44" spans="1:8" ht="26.45" customHeight="1">
      <c r="A44" s="56" t="s">
        <v>741</v>
      </c>
      <c r="B44" s="44" t="s">
        <v>747</v>
      </c>
      <c r="C44" s="44" t="s">
        <v>748</v>
      </c>
      <c r="D44" s="44" t="s">
        <v>749</v>
      </c>
      <c r="E44" s="44" t="s">
        <v>700</v>
      </c>
      <c r="F44" s="44" t="s">
        <v>745</v>
      </c>
      <c r="G44" s="44" t="s">
        <v>746</v>
      </c>
      <c r="H44" s="57" t="s">
        <v>703</v>
      </c>
    </row>
    <row r="45" spans="1:8" ht="26.45" customHeight="1">
      <c r="A45" s="56" t="s">
        <v>741</v>
      </c>
      <c r="B45" s="44" t="s">
        <v>750</v>
      </c>
      <c r="C45" s="44" t="s">
        <v>751</v>
      </c>
      <c r="D45" s="44" t="s">
        <v>752</v>
      </c>
      <c r="E45" s="44" t="s">
        <v>700</v>
      </c>
      <c r="F45" s="44" t="s">
        <v>745</v>
      </c>
      <c r="G45" s="44" t="s">
        <v>753</v>
      </c>
      <c r="H45" s="57" t="s">
        <v>703</v>
      </c>
    </row>
    <row r="46" spans="1:8" ht="26.45" customHeight="1">
      <c r="A46" s="56" t="s">
        <v>741</v>
      </c>
      <c r="B46" s="44" t="s">
        <v>754</v>
      </c>
      <c r="C46" s="44" t="s">
        <v>755</v>
      </c>
      <c r="D46" s="44" t="s">
        <v>756</v>
      </c>
      <c r="E46" s="44" t="s">
        <v>700</v>
      </c>
      <c r="F46" s="44" t="s">
        <v>745</v>
      </c>
      <c r="G46" s="44" t="s">
        <v>757</v>
      </c>
      <c r="H46" s="57" t="s">
        <v>703</v>
      </c>
    </row>
    <row r="47" spans="1:8" ht="26.45" customHeight="1">
      <c r="A47" s="56" t="s">
        <v>741</v>
      </c>
      <c r="B47" s="44" t="s">
        <v>758</v>
      </c>
      <c r="C47" s="44" t="s">
        <v>759</v>
      </c>
      <c r="D47" s="44" t="s">
        <v>760</v>
      </c>
      <c r="E47" s="44" t="s">
        <v>700</v>
      </c>
      <c r="F47" s="44" t="s">
        <v>761</v>
      </c>
      <c r="G47" s="44" t="s">
        <v>762</v>
      </c>
      <c r="H47" s="57" t="s">
        <v>703</v>
      </c>
    </row>
    <row r="48" spans="1:8" ht="39.6" customHeight="1">
      <c r="A48" s="56" t="s">
        <v>741</v>
      </c>
      <c r="B48" s="44" t="s">
        <v>763</v>
      </c>
      <c r="C48" s="44" t="s">
        <v>764</v>
      </c>
      <c r="D48" s="44" t="s">
        <v>765</v>
      </c>
      <c r="E48" s="44" t="s">
        <v>700</v>
      </c>
      <c r="F48" s="44" t="s">
        <v>707</v>
      </c>
      <c r="G48" s="44" t="s">
        <v>762</v>
      </c>
      <c r="H48" s="57" t="s">
        <v>703</v>
      </c>
    </row>
    <row r="49" spans="1:8" ht="26.45" customHeight="1">
      <c r="A49" s="56" t="s">
        <v>741</v>
      </c>
      <c r="B49" s="44" t="s">
        <v>766</v>
      </c>
      <c r="C49" s="44" t="s">
        <v>767</v>
      </c>
      <c r="D49" s="44" t="s">
        <v>768</v>
      </c>
      <c r="E49" s="44" t="s">
        <v>700</v>
      </c>
      <c r="F49" s="44" t="s">
        <v>707</v>
      </c>
      <c r="G49" s="44" t="s">
        <v>769</v>
      </c>
      <c r="H49" s="57" t="s">
        <v>703</v>
      </c>
    </row>
    <row r="50" spans="1:8" ht="52.7" customHeight="1">
      <c r="A50" s="56" t="s">
        <v>770</v>
      </c>
      <c r="B50" s="44" t="s">
        <v>771</v>
      </c>
      <c r="C50" s="44" t="s">
        <v>772</v>
      </c>
      <c r="D50" s="44" t="s">
        <v>773</v>
      </c>
      <c r="E50" s="44" t="s">
        <v>700</v>
      </c>
      <c r="F50" s="44" t="s">
        <v>721</v>
      </c>
      <c r="G50" s="44" t="s">
        <v>774</v>
      </c>
      <c r="H50" s="57" t="s">
        <v>703</v>
      </c>
    </row>
    <row r="51" spans="1:8" ht="39.6" customHeight="1">
      <c r="A51" s="56" t="s">
        <v>770</v>
      </c>
      <c r="B51" s="44" t="s">
        <v>775</v>
      </c>
      <c r="C51" s="44" t="s">
        <v>776</v>
      </c>
      <c r="D51" s="44" t="s">
        <v>777</v>
      </c>
      <c r="E51" s="44" t="s">
        <v>700</v>
      </c>
      <c r="F51" s="44" t="s">
        <v>721</v>
      </c>
      <c r="G51" s="44" t="s">
        <v>778</v>
      </c>
      <c r="H51" s="57" t="s">
        <v>703</v>
      </c>
    </row>
    <row r="52" spans="1:8" ht="26.45" customHeight="1">
      <c r="A52" s="56" t="s">
        <v>770</v>
      </c>
      <c r="B52" s="44" t="s">
        <v>779</v>
      </c>
      <c r="C52" s="44" t="s">
        <v>780</v>
      </c>
      <c r="D52" s="44" t="s">
        <v>781</v>
      </c>
      <c r="E52" s="44" t="s">
        <v>700</v>
      </c>
      <c r="F52" s="44" t="s">
        <v>721</v>
      </c>
      <c r="G52" s="44" t="s">
        <v>778</v>
      </c>
      <c r="H52" s="57" t="s">
        <v>703</v>
      </c>
    </row>
    <row r="53" spans="1:8" ht="52.7" customHeight="1">
      <c r="A53" s="56" t="s">
        <v>770</v>
      </c>
      <c r="B53" s="44" t="s">
        <v>782</v>
      </c>
      <c r="C53" s="44" t="s">
        <v>783</v>
      </c>
      <c r="D53" s="44" t="s">
        <v>784</v>
      </c>
      <c r="E53" s="44" t="s">
        <v>700</v>
      </c>
      <c r="F53" s="44" t="s">
        <v>785</v>
      </c>
      <c r="G53" s="44" t="s">
        <v>786</v>
      </c>
      <c r="H53" s="57" t="s">
        <v>703</v>
      </c>
    </row>
    <row r="54" spans="1:8" ht="39.6" customHeight="1">
      <c r="A54" s="56" t="s">
        <v>770</v>
      </c>
      <c r="B54" s="44" t="s">
        <v>787</v>
      </c>
      <c r="C54" s="44" t="s">
        <v>788</v>
      </c>
      <c r="D54" s="44" t="s">
        <v>789</v>
      </c>
      <c r="E54" s="44" t="s">
        <v>700</v>
      </c>
      <c r="F54" s="44" t="s">
        <v>785</v>
      </c>
      <c r="G54" s="44" t="s">
        <v>786</v>
      </c>
      <c r="H54" s="57" t="s">
        <v>703</v>
      </c>
    </row>
    <row r="55" spans="1:8" ht="39.6" customHeight="1">
      <c r="A55" s="56" t="s">
        <v>770</v>
      </c>
      <c r="B55" s="44" t="s">
        <v>790</v>
      </c>
      <c r="C55" s="44" t="s">
        <v>791</v>
      </c>
      <c r="D55" s="44" t="s">
        <v>792</v>
      </c>
      <c r="E55" s="44" t="s">
        <v>700</v>
      </c>
      <c r="F55" s="44" t="s">
        <v>785</v>
      </c>
      <c r="G55" s="44" t="s">
        <v>786</v>
      </c>
      <c r="H55" s="57" t="s">
        <v>703</v>
      </c>
    </row>
    <row r="56" spans="1:8" ht="39.6" customHeight="1">
      <c r="A56" s="56" t="s">
        <v>793</v>
      </c>
      <c r="B56" s="44" t="s">
        <v>794</v>
      </c>
      <c r="C56" s="44" t="s">
        <v>795</v>
      </c>
      <c r="D56" s="44" t="s">
        <v>796</v>
      </c>
      <c r="E56" s="44" t="s">
        <v>700</v>
      </c>
      <c r="F56" s="44" t="s">
        <v>797</v>
      </c>
      <c r="G56" s="44" t="s">
        <v>774</v>
      </c>
      <c r="H56" s="57" t="s">
        <v>703</v>
      </c>
    </row>
    <row r="57" spans="1:8" ht="39.6" customHeight="1">
      <c r="A57" s="56" t="s">
        <v>793</v>
      </c>
      <c r="B57" s="44" t="s">
        <v>798</v>
      </c>
      <c r="C57" s="44" t="s">
        <v>799</v>
      </c>
      <c r="D57" s="44" t="s">
        <v>800</v>
      </c>
      <c r="E57" s="44" t="s">
        <v>700</v>
      </c>
      <c r="F57" s="44" t="s">
        <v>801</v>
      </c>
      <c r="G57" s="44" t="s">
        <v>774</v>
      </c>
      <c r="H57" s="57" t="s">
        <v>703</v>
      </c>
    </row>
    <row r="58" spans="1:8" ht="52.7" customHeight="1">
      <c r="A58" s="56" t="s">
        <v>802</v>
      </c>
      <c r="B58" s="44" t="s">
        <v>803</v>
      </c>
      <c r="C58" s="44" t="s">
        <v>804</v>
      </c>
      <c r="D58" s="44" t="s">
        <v>805</v>
      </c>
      <c r="E58" s="44" t="s">
        <v>700</v>
      </c>
      <c r="F58" s="44" t="s">
        <v>806</v>
      </c>
      <c r="G58" s="44" t="s">
        <v>774</v>
      </c>
      <c r="H58" s="57" t="s">
        <v>703</v>
      </c>
    </row>
    <row r="59" spans="1:8" ht="52.7" customHeight="1">
      <c r="A59" s="56" t="s">
        <v>802</v>
      </c>
      <c r="B59" s="44" t="s">
        <v>807</v>
      </c>
      <c r="C59" s="44" t="s">
        <v>808</v>
      </c>
      <c r="D59" s="44" t="s">
        <v>809</v>
      </c>
      <c r="E59" s="44" t="s">
        <v>700</v>
      </c>
      <c r="F59" s="44" t="s">
        <v>701</v>
      </c>
      <c r="G59" s="44" t="s">
        <v>774</v>
      </c>
      <c r="H59" s="57" t="s">
        <v>703</v>
      </c>
    </row>
    <row r="60" spans="1:8" ht="26.45" customHeight="1">
      <c r="A60" s="56" t="s">
        <v>802</v>
      </c>
      <c r="B60" s="44" t="s">
        <v>810</v>
      </c>
      <c r="C60" s="44" t="s">
        <v>811</v>
      </c>
      <c r="D60" s="44" t="s">
        <v>812</v>
      </c>
      <c r="E60" s="44" t="s">
        <v>700</v>
      </c>
      <c r="F60" s="44" t="s">
        <v>707</v>
      </c>
      <c r="G60" s="44" t="s">
        <v>813</v>
      </c>
      <c r="H60" s="57" t="s">
        <v>703</v>
      </c>
    </row>
    <row r="61" spans="1:8" ht="52.7" customHeight="1">
      <c r="A61" s="80" t="s">
        <v>802</v>
      </c>
      <c r="B61" s="81" t="s">
        <v>814</v>
      </c>
      <c r="C61" s="81" t="s">
        <v>815</v>
      </c>
      <c r="D61" s="81" t="s">
        <v>816</v>
      </c>
      <c r="E61" s="81" t="s">
        <v>700</v>
      </c>
      <c r="F61" s="81" t="s">
        <v>707</v>
      </c>
      <c r="G61" s="81" t="s">
        <v>813</v>
      </c>
      <c r="H61" s="67" t="s">
        <v>703</v>
      </c>
    </row>
  </sheetData>
  <mergeCells count="1">
    <mergeCell ref="A27:H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D4" sqref="D4"/>
    </sheetView>
  </sheetViews>
  <sheetFormatPr defaultColWidth="14.42578125" defaultRowHeight="15"/>
  <cols>
    <col min="1" max="1" width="6" customWidth="1"/>
    <col min="2" max="2" width="16" customWidth="1"/>
    <col min="3" max="3" width="8" customWidth="1"/>
    <col min="4" max="4" width="45" customWidth="1"/>
    <col min="5" max="8" width="20" customWidth="1"/>
    <col min="9" max="9" width="24" customWidth="1"/>
    <col min="10" max="10" width="44" customWidth="1"/>
    <col min="11" max="26" width="8.7109375" customWidth="1"/>
  </cols>
  <sheetData>
    <row r="1" spans="1:10" ht="24" customHeight="1">
      <c r="A1" s="161" t="s">
        <v>42</v>
      </c>
      <c r="B1" s="162"/>
      <c r="C1" s="162"/>
      <c r="D1" s="162"/>
      <c r="E1" s="162"/>
      <c r="F1" s="162"/>
      <c r="G1" s="162"/>
      <c r="H1" s="162"/>
      <c r="I1" s="162"/>
      <c r="J1" s="163"/>
    </row>
    <row r="2" spans="1:10">
      <c r="A2" s="56"/>
      <c r="B2" s="44"/>
      <c r="C2" s="44"/>
      <c r="D2" s="44"/>
      <c r="E2" s="44"/>
      <c r="F2" s="44"/>
      <c r="G2" s="44"/>
      <c r="H2" s="44"/>
      <c r="I2" s="44"/>
      <c r="J2" s="57"/>
    </row>
    <row r="3" spans="1:10" ht="15" customHeight="1">
      <c r="A3" s="109" t="s">
        <v>43</v>
      </c>
      <c r="B3" s="110" t="s">
        <v>44</v>
      </c>
      <c r="C3" s="110" t="s">
        <v>45</v>
      </c>
      <c r="D3" s="110" t="s">
        <v>46</v>
      </c>
      <c r="E3" s="110" t="s">
        <v>47</v>
      </c>
      <c r="F3" s="110" t="s">
        <v>48</v>
      </c>
      <c r="G3" s="110" t="s">
        <v>49</v>
      </c>
      <c r="H3" s="110" t="s">
        <v>50</v>
      </c>
      <c r="I3" s="110" t="s">
        <v>51</v>
      </c>
      <c r="J3" s="111" t="s">
        <v>52</v>
      </c>
    </row>
    <row r="4" spans="1:10" ht="45" customHeight="1">
      <c r="A4" s="58">
        <v>1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2" t="s">
        <v>60</v>
      </c>
      <c r="J4" s="84" t="s">
        <v>61</v>
      </c>
    </row>
    <row r="5" spans="1:10" ht="45" customHeight="1">
      <c r="A5" s="85">
        <v>2</v>
      </c>
      <c r="B5" s="3" t="s">
        <v>62</v>
      </c>
      <c r="C5" s="3" t="s">
        <v>54</v>
      </c>
      <c r="D5" s="3" t="s">
        <v>63</v>
      </c>
      <c r="E5" s="3" t="s">
        <v>64</v>
      </c>
      <c r="F5" s="3" t="s">
        <v>65</v>
      </c>
      <c r="G5" s="3" t="s">
        <v>62</v>
      </c>
      <c r="H5" s="3" t="s">
        <v>66</v>
      </c>
      <c r="I5" s="4" t="s">
        <v>67</v>
      </c>
      <c r="J5" s="86" t="s">
        <v>68</v>
      </c>
    </row>
    <row r="6" spans="1:10" ht="45" customHeight="1">
      <c r="A6" s="58">
        <v>3</v>
      </c>
      <c r="B6" s="1" t="s">
        <v>69</v>
      </c>
      <c r="C6" s="1" t="s">
        <v>54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2" t="s">
        <v>75</v>
      </c>
      <c r="J6" s="84" t="s">
        <v>76</v>
      </c>
    </row>
    <row r="7" spans="1:10" ht="45" customHeight="1">
      <c r="A7" s="85">
        <v>4</v>
      </c>
      <c r="B7" s="3" t="s">
        <v>11</v>
      </c>
      <c r="C7" s="3" t="s">
        <v>54</v>
      </c>
      <c r="D7" s="3" t="s">
        <v>77</v>
      </c>
      <c r="E7" s="3" t="s">
        <v>58</v>
      </c>
      <c r="F7" s="3" t="s">
        <v>65</v>
      </c>
      <c r="G7" s="3" t="s">
        <v>56</v>
      </c>
      <c r="H7" s="3" t="s">
        <v>78</v>
      </c>
      <c r="I7" s="4" t="s">
        <v>79</v>
      </c>
      <c r="J7" s="86" t="s">
        <v>80</v>
      </c>
    </row>
    <row r="8" spans="1:10" ht="45" customHeight="1">
      <c r="A8" s="58">
        <v>5</v>
      </c>
      <c r="B8" s="1" t="s">
        <v>11</v>
      </c>
      <c r="C8" s="1" t="s">
        <v>54</v>
      </c>
      <c r="D8" s="1" t="s">
        <v>81</v>
      </c>
      <c r="E8" s="1" t="s">
        <v>65</v>
      </c>
      <c r="F8" s="1" t="s">
        <v>57</v>
      </c>
      <c r="G8" s="1" t="s">
        <v>62</v>
      </c>
      <c r="H8" s="1" t="s">
        <v>56</v>
      </c>
      <c r="I8" s="2" t="s">
        <v>82</v>
      </c>
      <c r="J8" s="84" t="s">
        <v>83</v>
      </c>
    </row>
    <row r="9" spans="1:10" ht="45" customHeight="1">
      <c r="A9" s="85">
        <v>6</v>
      </c>
      <c r="B9" s="3" t="s">
        <v>10</v>
      </c>
      <c r="C9" s="3" t="s">
        <v>54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4" t="s">
        <v>89</v>
      </c>
      <c r="J9" s="86" t="s">
        <v>90</v>
      </c>
    </row>
    <row r="10" spans="1:10" ht="45" customHeight="1">
      <c r="A10" s="58">
        <v>7</v>
      </c>
      <c r="B10" s="1" t="s">
        <v>8</v>
      </c>
      <c r="C10" s="1" t="s">
        <v>54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2" t="s">
        <v>96</v>
      </c>
      <c r="J10" s="84" t="s">
        <v>97</v>
      </c>
    </row>
    <row r="11" spans="1:10" ht="45" customHeight="1">
      <c r="A11" s="85">
        <v>8</v>
      </c>
      <c r="B11" s="3" t="s">
        <v>8</v>
      </c>
      <c r="C11" s="3" t="s">
        <v>54</v>
      </c>
      <c r="D11" s="3" t="s">
        <v>98</v>
      </c>
      <c r="E11" s="3" t="s">
        <v>71</v>
      </c>
      <c r="F11" s="3" t="s">
        <v>99</v>
      </c>
      <c r="G11" s="3" t="s">
        <v>95</v>
      </c>
      <c r="H11" s="3" t="s">
        <v>93</v>
      </c>
      <c r="I11" s="4" t="s">
        <v>100</v>
      </c>
      <c r="J11" s="86" t="s">
        <v>101</v>
      </c>
    </row>
    <row r="12" spans="1:10" ht="45" customHeight="1">
      <c r="A12" s="58">
        <v>9</v>
      </c>
      <c r="B12" s="1" t="s">
        <v>10</v>
      </c>
      <c r="C12" s="1" t="s">
        <v>54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87</v>
      </c>
      <c r="I12" s="2" t="s">
        <v>106</v>
      </c>
      <c r="J12" s="84" t="s">
        <v>107</v>
      </c>
    </row>
    <row r="13" spans="1:10" ht="45" customHeight="1">
      <c r="A13" s="85">
        <v>10</v>
      </c>
      <c r="B13" s="3" t="s">
        <v>10</v>
      </c>
      <c r="C13" s="3" t="s">
        <v>54</v>
      </c>
      <c r="D13" s="3" t="s">
        <v>108</v>
      </c>
      <c r="E13" s="3" t="s">
        <v>85</v>
      </c>
      <c r="F13" s="3" t="s">
        <v>109</v>
      </c>
      <c r="G13" s="3" t="s">
        <v>88</v>
      </c>
      <c r="H13" s="3" t="s">
        <v>86</v>
      </c>
      <c r="I13" s="4" t="s">
        <v>110</v>
      </c>
      <c r="J13" s="86" t="s">
        <v>111</v>
      </c>
    </row>
    <row r="14" spans="1:10" ht="45" customHeight="1">
      <c r="A14" s="58">
        <v>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/>
      <c r="H14" s="1"/>
      <c r="I14" s="2" t="s">
        <v>115</v>
      </c>
      <c r="J14" s="84" t="s">
        <v>117</v>
      </c>
    </row>
    <row r="15" spans="1:10" ht="45" customHeight="1">
      <c r="A15" s="85">
        <v>12</v>
      </c>
      <c r="B15" s="3" t="s">
        <v>118</v>
      </c>
      <c r="C15" s="3" t="s">
        <v>113</v>
      </c>
      <c r="D15" s="3" t="s">
        <v>119</v>
      </c>
      <c r="E15" s="3" t="s">
        <v>115</v>
      </c>
      <c r="F15" s="3" t="s">
        <v>116</v>
      </c>
      <c r="G15" s="3"/>
      <c r="H15" s="3"/>
      <c r="I15" s="4" t="s">
        <v>115</v>
      </c>
      <c r="J15" s="86" t="s">
        <v>120</v>
      </c>
    </row>
    <row r="16" spans="1:10" ht="45" customHeight="1">
      <c r="A16" s="58">
        <v>13</v>
      </c>
      <c r="B16" s="1" t="s">
        <v>112</v>
      </c>
      <c r="C16" s="1" t="s">
        <v>113</v>
      </c>
      <c r="D16" s="1" t="s">
        <v>121</v>
      </c>
      <c r="E16" s="1" t="s">
        <v>115</v>
      </c>
      <c r="F16" s="1" t="s">
        <v>116</v>
      </c>
      <c r="G16" s="1"/>
      <c r="H16" s="1"/>
      <c r="I16" s="2" t="s">
        <v>115</v>
      </c>
      <c r="J16" s="84" t="s">
        <v>122</v>
      </c>
    </row>
    <row r="17" spans="1:10" ht="45" customHeight="1">
      <c r="A17" s="85">
        <v>14</v>
      </c>
      <c r="B17" s="3" t="s">
        <v>118</v>
      </c>
      <c r="C17" s="3" t="s">
        <v>113</v>
      </c>
      <c r="D17" s="3" t="s">
        <v>123</v>
      </c>
      <c r="E17" s="3" t="s">
        <v>115</v>
      </c>
      <c r="F17" s="3" t="s">
        <v>116</v>
      </c>
      <c r="G17" s="3"/>
      <c r="H17" s="3"/>
      <c r="I17" s="4" t="s">
        <v>115</v>
      </c>
      <c r="J17" s="86" t="s">
        <v>124</v>
      </c>
    </row>
    <row r="18" spans="1:10" ht="45" customHeight="1">
      <c r="A18" s="58">
        <v>15</v>
      </c>
      <c r="B18" s="1" t="s">
        <v>10</v>
      </c>
      <c r="C18" s="1" t="s">
        <v>113</v>
      </c>
      <c r="D18" s="1" t="s">
        <v>125</v>
      </c>
      <c r="E18" s="1" t="s">
        <v>115</v>
      </c>
      <c r="F18" s="1" t="s">
        <v>116</v>
      </c>
      <c r="G18" s="1"/>
      <c r="H18" s="1"/>
      <c r="I18" s="2" t="s">
        <v>116</v>
      </c>
      <c r="J18" s="84" t="s">
        <v>126</v>
      </c>
    </row>
    <row r="19" spans="1:10" ht="45" customHeight="1">
      <c r="A19" s="85">
        <v>16</v>
      </c>
      <c r="B19" s="3" t="s">
        <v>112</v>
      </c>
      <c r="C19" s="3" t="s">
        <v>113</v>
      </c>
      <c r="D19" s="3" t="s">
        <v>127</v>
      </c>
      <c r="E19" s="3" t="s">
        <v>115</v>
      </c>
      <c r="F19" s="3" t="s">
        <v>116</v>
      </c>
      <c r="G19" s="3"/>
      <c r="H19" s="3"/>
      <c r="I19" s="4" t="s">
        <v>116</v>
      </c>
      <c r="J19" s="86" t="s">
        <v>128</v>
      </c>
    </row>
    <row r="20" spans="1:10" ht="45" customHeight="1">
      <c r="A20" s="58">
        <v>17</v>
      </c>
      <c r="B20" s="1" t="s">
        <v>118</v>
      </c>
      <c r="C20" s="1" t="s">
        <v>113</v>
      </c>
      <c r="D20" s="1" t="s">
        <v>129</v>
      </c>
      <c r="E20" s="1" t="s">
        <v>115</v>
      </c>
      <c r="F20" s="1" t="s">
        <v>116</v>
      </c>
      <c r="G20" s="1"/>
      <c r="H20" s="1"/>
      <c r="I20" s="2" t="s">
        <v>116</v>
      </c>
      <c r="J20" s="84" t="s">
        <v>130</v>
      </c>
    </row>
    <row r="21" spans="1:10" ht="45" customHeight="1">
      <c r="A21" s="85">
        <v>18</v>
      </c>
      <c r="B21" s="3" t="s">
        <v>131</v>
      </c>
      <c r="C21" s="3" t="s">
        <v>54</v>
      </c>
      <c r="D21" s="3" t="s">
        <v>132</v>
      </c>
      <c r="E21" s="3" t="s">
        <v>133</v>
      </c>
      <c r="F21" s="3" t="s">
        <v>134</v>
      </c>
      <c r="G21" s="3" t="s">
        <v>135</v>
      </c>
      <c r="H21" s="3" t="s">
        <v>136</v>
      </c>
      <c r="I21" s="4" t="s">
        <v>137</v>
      </c>
      <c r="J21" s="86" t="s">
        <v>138</v>
      </c>
    </row>
    <row r="22" spans="1:10" ht="45" customHeight="1">
      <c r="A22" s="58">
        <v>19</v>
      </c>
      <c r="B22" s="1" t="s">
        <v>131</v>
      </c>
      <c r="C22" s="1" t="s">
        <v>54</v>
      </c>
      <c r="D22" s="1" t="s">
        <v>139</v>
      </c>
      <c r="E22" s="1" t="s">
        <v>133</v>
      </c>
      <c r="F22" s="1" t="s">
        <v>140</v>
      </c>
      <c r="G22" s="1" t="s">
        <v>135</v>
      </c>
      <c r="H22" s="1" t="s">
        <v>136</v>
      </c>
      <c r="I22" s="2" t="s">
        <v>141</v>
      </c>
      <c r="J22" s="84" t="s">
        <v>142</v>
      </c>
    </row>
    <row r="23" spans="1:10" ht="45" customHeight="1">
      <c r="A23" s="85">
        <v>20</v>
      </c>
      <c r="B23" s="3" t="s">
        <v>131</v>
      </c>
      <c r="C23" s="3" t="s">
        <v>54</v>
      </c>
      <c r="D23" s="3" t="s">
        <v>143</v>
      </c>
      <c r="E23" s="3" t="s">
        <v>135</v>
      </c>
      <c r="F23" s="3" t="s">
        <v>133</v>
      </c>
      <c r="G23" s="3" t="s">
        <v>136</v>
      </c>
      <c r="H23" s="3" t="s">
        <v>144</v>
      </c>
      <c r="I23" s="4" t="s">
        <v>145</v>
      </c>
      <c r="J23" s="86" t="s">
        <v>146</v>
      </c>
    </row>
    <row r="24" spans="1:10" ht="45" customHeight="1">
      <c r="A24" s="58">
        <v>21</v>
      </c>
      <c r="B24" s="1" t="s">
        <v>131</v>
      </c>
      <c r="C24" s="1" t="s">
        <v>54</v>
      </c>
      <c r="D24" s="1" t="s">
        <v>147</v>
      </c>
      <c r="E24" s="1" t="s">
        <v>148</v>
      </c>
      <c r="F24" s="1" t="s">
        <v>149</v>
      </c>
      <c r="G24" s="1" t="s">
        <v>150</v>
      </c>
      <c r="H24" s="1" t="s">
        <v>151</v>
      </c>
      <c r="I24" s="2" t="s">
        <v>152</v>
      </c>
      <c r="J24" s="84" t="s">
        <v>153</v>
      </c>
    </row>
    <row r="25" spans="1:10" ht="45" customHeight="1">
      <c r="A25" s="85">
        <v>22</v>
      </c>
      <c r="B25" s="3" t="s">
        <v>131</v>
      </c>
      <c r="C25" s="3" t="s">
        <v>113</v>
      </c>
      <c r="D25" s="3" t="s">
        <v>154</v>
      </c>
      <c r="E25" s="3" t="s">
        <v>115</v>
      </c>
      <c r="F25" s="3" t="s">
        <v>116</v>
      </c>
      <c r="G25" s="3"/>
      <c r="H25" s="3"/>
      <c r="I25" s="4" t="s">
        <v>115</v>
      </c>
      <c r="J25" s="86" t="s">
        <v>155</v>
      </c>
    </row>
    <row r="26" spans="1:10" ht="45" customHeight="1">
      <c r="A26" s="58">
        <v>23</v>
      </c>
      <c r="B26" s="1" t="s">
        <v>156</v>
      </c>
      <c r="C26" s="1" t="s">
        <v>54</v>
      </c>
      <c r="D26" s="1" t="s">
        <v>157</v>
      </c>
      <c r="E26" s="1" t="s">
        <v>158</v>
      </c>
      <c r="F26" s="1" t="s">
        <v>159</v>
      </c>
      <c r="G26" s="1" t="s">
        <v>160</v>
      </c>
      <c r="H26" s="1" t="s">
        <v>161</v>
      </c>
      <c r="I26" s="2" t="s">
        <v>162</v>
      </c>
      <c r="J26" s="84" t="s">
        <v>163</v>
      </c>
    </row>
    <row r="27" spans="1:10" ht="45" customHeight="1">
      <c r="A27" s="85">
        <v>24</v>
      </c>
      <c r="B27" s="3" t="s">
        <v>156</v>
      </c>
      <c r="C27" s="3" t="s">
        <v>54</v>
      </c>
      <c r="D27" s="3" t="s">
        <v>164</v>
      </c>
      <c r="E27" s="3" t="s">
        <v>165</v>
      </c>
      <c r="F27" s="3" t="s">
        <v>166</v>
      </c>
      <c r="G27" s="3" t="s">
        <v>167</v>
      </c>
      <c r="H27" s="3" t="s">
        <v>168</v>
      </c>
      <c r="I27" s="4" t="s">
        <v>169</v>
      </c>
      <c r="J27" s="86" t="s">
        <v>170</v>
      </c>
    </row>
    <row r="28" spans="1:10" ht="45" customHeight="1">
      <c r="A28" s="58">
        <v>25</v>
      </c>
      <c r="B28" s="1" t="s">
        <v>156</v>
      </c>
      <c r="C28" s="1" t="s">
        <v>54</v>
      </c>
      <c r="D28" s="1" t="s">
        <v>171</v>
      </c>
      <c r="E28" s="1" t="s">
        <v>172</v>
      </c>
      <c r="F28" s="1" t="s">
        <v>173</v>
      </c>
      <c r="G28" s="1" t="s">
        <v>174</v>
      </c>
      <c r="H28" s="1" t="s">
        <v>175</v>
      </c>
      <c r="I28" s="2" t="s">
        <v>176</v>
      </c>
      <c r="J28" s="84" t="s">
        <v>177</v>
      </c>
    </row>
    <row r="29" spans="1:10" ht="45" customHeight="1">
      <c r="A29" s="85">
        <v>26</v>
      </c>
      <c r="B29" s="3" t="s">
        <v>156</v>
      </c>
      <c r="C29" s="3" t="s">
        <v>54</v>
      </c>
      <c r="D29" s="3" t="s">
        <v>178</v>
      </c>
      <c r="E29" s="3" t="s">
        <v>179</v>
      </c>
      <c r="F29" s="3" t="s">
        <v>180</v>
      </c>
      <c r="G29" s="3" t="s">
        <v>181</v>
      </c>
      <c r="H29" s="3" t="s">
        <v>182</v>
      </c>
      <c r="I29" s="4" t="s">
        <v>183</v>
      </c>
      <c r="J29" s="86" t="s">
        <v>184</v>
      </c>
    </row>
    <row r="30" spans="1:10" ht="45" customHeight="1">
      <c r="A30" s="58">
        <v>27</v>
      </c>
      <c r="B30" s="1" t="s">
        <v>156</v>
      </c>
      <c r="C30" s="1" t="s">
        <v>54</v>
      </c>
      <c r="D30" s="1" t="s">
        <v>185</v>
      </c>
      <c r="E30" s="1" t="s">
        <v>182</v>
      </c>
      <c r="F30" s="1" t="s">
        <v>180</v>
      </c>
      <c r="G30" s="1" t="s">
        <v>179</v>
      </c>
      <c r="H30" s="1" t="s">
        <v>186</v>
      </c>
      <c r="I30" s="2" t="s">
        <v>187</v>
      </c>
      <c r="J30" s="84" t="s">
        <v>188</v>
      </c>
    </row>
    <row r="31" spans="1:10" ht="45" customHeight="1">
      <c r="A31" s="85">
        <v>28</v>
      </c>
      <c r="B31" s="3" t="s">
        <v>156</v>
      </c>
      <c r="C31" s="3" t="s">
        <v>54</v>
      </c>
      <c r="D31" s="3" t="s">
        <v>189</v>
      </c>
      <c r="E31" s="3" t="s">
        <v>190</v>
      </c>
      <c r="F31" s="3" t="s">
        <v>191</v>
      </c>
      <c r="G31" s="3" t="s">
        <v>192</v>
      </c>
      <c r="H31" s="3" t="s">
        <v>193</v>
      </c>
      <c r="I31" s="4" t="s">
        <v>194</v>
      </c>
      <c r="J31" s="86" t="s">
        <v>195</v>
      </c>
    </row>
    <row r="32" spans="1:10" ht="45" customHeight="1">
      <c r="A32" s="58">
        <v>29</v>
      </c>
      <c r="B32" s="1" t="s">
        <v>156</v>
      </c>
      <c r="C32" s="1" t="s">
        <v>54</v>
      </c>
      <c r="D32" s="1" t="s">
        <v>196</v>
      </c>
      <c r="E32" s="1" t="s">
        <v>197</v>
      </c>
      <c r="F32" s="1" t="s">
        <v>198</v>
      </c>
      <c r="G32" s="1" t="s">
        <v>199</v>
      </c>
      <c r="H32" s="1" t="s">
        <v>200</v>
      </c>
      <c r="I32" s="2" t="s">
        <v>201</v>
      </c>
      <c r="J32" s="84" t="s">
        <v>202</v>
      </c>
    </row>
    <row r="33" spans="1:10" ht="45" customHeight="1">
      <c r="A33" s="85">
        <v>30</v>
      </c>
      <c r="B33" s="3" t="s">
        <v>203</v>
      </c>
      <c r="C33" s="3" t="s">
        <v>54</v>
      </c>
      <c r="D33" s="3" t="s">
        <v>204</v>
      </c>
      <c r="E33" s="3" t="s">
        <v>205</v>
      </c>
      <c r="F33" s="3" t="s">
        <v>206</v>
      </c>
      <c r="G33" s="3" t="s">
        <v>207</v>
      </c>
      <c r="H33" s="3" t="s">
        <v>208</v>
      </c>
      <c r="I33" s="4" t="s">
        <v>209</v>
      </c>
      <c r="J33" s="86" t="s">
        <v>210</v>
      </c>
    </row>
    <row r="34" spans="1:10" ht="45" customHeight="1">
      <c r="A34" s="58">
        <v>31</v>
      </c>
      <c r="B34" s="1" t="s">
        <v>203</v>
      </c>
      <c r="C34" s="1" t="s">
        <v>54</v>
      </c>
      <c r="D34" s="1" t="s">
        <v>211</v>
      </c>
      <c r="E34" s="1" t="s">
        <v>212</v>
      </c>
      <c r="F34" s="1" t="s">
        <v>213</v>
      </c>
      <c r="G34" s="1" t="s">
        <v>214</v>
      </c>
      <c r="H34" s="1" t="s">
        <v>215</v>
      </c>
      <c r="I34" s="2" t="s">
        <v>216</v>
      </c>
      <c r="J34" s="84" t="s">
        <v>217</v>
      </c>
    </row>
    <row r="35" spans="1:10" ht="45" customHeight="1">
      <c r="A35" s="85">
        <v>32</v>
      </c>
      <c r="B35" s="3" t="s">
        <v>203</v>
      </c>
      <c r="C35" s="3" t="s">
        <v>54</v>
      </c>
      <c r="D35" s="3" t="s">
        <v>218</v>
      </c>
      <c r="E35" s="3" t="s">
        <v>219</v>
      </c>
      <c r="F35" s="3" t="s">
        <v>220</v>
      </c>
      <c r="G35" s="3" t="s">
        <v>221</v>
      </c>
      <c r="H35" s="3" t="s">
        <v>222</v>
      </c>
      <c r="I35" s="4" t="s">
        <v>223</v>
      </c>
      <c r="J35" s="86" t="s">
        <v>224</v>
      </c>
    </row>
    <row r="36" spans="1:10" ht="45" customHeight="1">
      <c r="A36" s="58">
        <v>33</v>
      </c>
      <c r="B36" s="1" t="s">
        <v>203</v>
      </c>
      <c r="C36" s="1" t="s">
        <v>54</v>
      </c>
      <c r="D36" s="1" t="s">
        <v>225</v>
      </c>
      <c r="E36" s="1" t="s">
        <v>226</v>
      </c>
      <c r="F36" s="1" t="s">
        <v>227</v>
      </c>
      <c r="G36" s="1" t="s">
        <v>228</v>
      </c>
      <c r="H36" s="1" t="s">
        <v>229</v>
      </c>
      <c r="I36" s="2" t="s">
        <v>230</v>
      </c>
      <c r="J36" s="84" t="s">
        <v>231</v>
      </c>
    </row>
    <row r="37" spans="1:10" ht="45" customHeight="1">
      <c r="A37" s="85">
        <v>34</v>
      </c>
      <c r="B37" s="3" t="s">
        <v>203</v>
      </c>
      <c r="C37" s="3" t="s">
        <v>54</v>
      </c>
      <c r="D37" s="3" t="s">
        <v>232</v>
      </c>
      <c r="E37" s="3" t="s">
        <v>233</v>
      </c>
      <c r="F37" s="3" t="s">
        <v>234</v>
      </c>
      <c r="G37" s="3" t="s">
        <v>235</v>
      </c>
      <c r="H37" s="3" t="s">
        <v>236</v>
      </c>
      <c r="I37" s="4" t="s">
        <v>237</v>
      </c>
      <c r="J37" s="86" t="s">
        <v>238</v>
      </c>
    </row>
    <row r="38" spans="1:10" ht="45" customHeight="1">
      <c r="A38" s="58">
        <v>35</v>
      </c>
      <c r="B38" s="1" t="s">
        <v>203</v>
      </c>
      <c r="C38" s="1" t="s">
        <v>54</v>
      </c>
      <c r="D38" s="1" t="s">
        <v>239</v>
      </c>
      <c r="E38" s="1" t="s">
        <v>240</v>
      </c>
      <c r="F38" s="1" t="s">
        <v>241</v>
      </c>
      <c r="G38" s="1" t="s">
        <v>242</v>
      </c>
      <c r="H38" s="1" t="s">
        <v>243</v>
      </c>
      <c r="I38" s="2" t="s">
        <v>244</v>
      </c>
      <c r="J38" s="84" t="s">
        <v>245</v>
      </c>
    </row>
    <row r="39" spans="1:10" ht="45" customHeight="1">
      <c r="A39" s="85">
        <v>36</v>
      </c>
      <c r="B39" s="3" t="s">
        <v>246</v>
      </c>
      <c r="C39" s="3" t="s">
        <v>54</v>
      </c>
      <c r="D39" s="3" t="s">
        <v>247</v>
      </c>
      <c r="E39" s="3" t="s">
        <v>248</v>
      </c>
      <c r="F39" s="3" t="s">
        <v>249</v>
      </c>
      <c r="G39" s="3" t="s">
        <v>250</v>
      </c>
      <c r="H39" s="3" t="s">
        <v>251</v>
      </c>
      <c r="I39" s="4" t="s">
        <v>252</v>
      </c>
      <c r="J39" s="86" t="s">
        <v>253</v>
      </c>
    </row>
    <row r="40" spans="1:10" ht="45" customHeight="1">
      <c r="A40" s="58">
        <v>37</v>
      </c>
      <c r="B40" s="1" t="s">
        <v>246</v>
      </c>
      <c r="C40" s="1" t="s">
        <v>54</v>
      </c>
      <c r="D40" s="1" t="s">
        <v>254</v>
      </c>
      <c r="E40" s="1" t="s">
        <v>255</v>
      </c>
      <c r="F40" s="1" t="s">
        <v>256</v>
      </c>
      <c r="G40" s="1" t="s">
        <v>257</v>
      </c>
      <c r="H40" s="1" t="s">
        <v>258</v>
      </c>
      <c r="I40" s="2" t="s">
        <v>259</v>
      </c>
      <c r="J40" s="84" t="s">
        <v>260</v>
      </c>
    </row>
    <row r="41" spans="1:10" ht="45" customHeight="1">
      <c r="A41" s="85">
        <v>38</v>
      </c>
      <c r="B41" s="3" t="s">
        <v>246</v>
      </c>
      <c r="C41" s="3" t="s">
        <v>54</v>
      </c>
      <c r="D41" s="3" t="s">
        <v>261</v>
      </c>
      <c r="E41" s="3" t="s">
        <v>249</v>
      </c>
      <c r="F41" s="3" t="s">
        <v>251</v>
      </c>
      <c r="G41" s="3" t="s">
        <v>262</v>
      </c>
      <c r="H41" s="3" t="s">
        <v>255</v>
      </c>
      <c r="I41" s="4" t="s">
        <v>263</v>
      </c>
      <c r="J41" s="86" t="s">
        <v>264</v>
      </c>
    </row>
    <row r="42" spans="1:10" ht="45" customHeight="1">
      <c r="A42" s="58">
        <v>39</v>
      </c>
      <c r="B42" s="1" t="s">
        <v>246</v>
      </c>
      <c r="C42" s="1" t="s">
        <v>54</v>
      </c>
      <c r="D42" s="1" t="s">
        <v>265</v>
      </c>
      <c r="E42" s="1" t="s">
        <v>175</v>
      </c>
      <c r="F42" s="1" t="s">
        <v>266</v>
      </c>
      <c r="G42" s="1" t="s">
        <v>250</v>
      </c>
      <c r="H42" s="1" t="s">
        <v>251</v>
      </c>
      <c r="I42" s="2" t="s">
        <v>267</v>
      </c>
      <c r="J42" s="84" t="s">
        <v>268</v>
      </c>
    </row>
    <row r="43" spans="1:10" ht="45" customHeight="1">
      <c r="A43" s="85">
        <v>40</v>
      </c>
      <c r="B43" s="3" t="s">
        <v>246</v>
      </c>
      <c r="C43" s="3" t="s">
        <v>54</v>
      </c>
      <c r="D43" s="3" t="s">
        <v>269</v>
      </c>
      <c r="E43" s="3" t="s">
        <v>256</v>
      </c>
      <c r="F43" s="3" t="s">
        <v>257</v>
      </c>
      <c r="G43" s="3" t="s">
        <v>248</v>
      </c>
      <c r="H43" s="3" t="s">
        <v>258</v>
      </c>
      <c r="I43" s="4" t="s">
        <v>270</v>
      </c>
      <c r="J43" s="86" t="s">
        <v>271</v>
      </c>
    </row>
    <row r="44" spans="1:10" ht="45" customHeight="1">
      <c r="A44" s="58">
        <v>41</v>
      </c>
      <c r="B44" s="1" t="s">
        <v>246</v>
      </c>
      <c r="C44" s="1" t="s">
        <v>54</v>
      </c>
      <c r="D44" s="1" t="s">
        <v>272</v>
      </c>
      <c r="E44" s="1" t="s">
        <v>257</v>
      </c>
      <c r="F44" s="1" t="s">
        <v>249</v>
      </c>
      <c r="G44" s="1" t="s">
        <v>256</v>
      </c>
      <c r="H44" s="1" t="s">
        <v>251</v>
      </c>
      <c r="I44" s="2" t="s">
        <v>273</v>
      </c>
      <c r="J44" s="84" t="s">
        <v>274</v>
      </c>
    </row>
    <row r="45" spans="1:10" ht="45" customHeight="1">
      <c r="A45" s="85">
        <v>42</v>
      </c>
      <c r="B45" s="3" t="s">
        <v>246</v>
      </c>
      <c r="C45" s="3" t="s">
        <v>54</v>
      </c>
      <c r="D45" s="3" t="s">
        <v>275</v>
      </c>
      <c r="E45" s="3" t="s">
        <v>262</v>
      </c>
      <c r="F45" s="3" t="s">
        <v>256</v>
      </c>
      <c r="G45" s="3" t="s">
        <v>255</v>
      </c>
      <c r="H45" s="3" t="s">
        <v>250</v>
      </c>
      <c r="I45" s="4" t="s">
        <v>276</v>
      </c>
      <c r="J45" s="86" t="s">
        <v>277</v>
      </c>
    </row>
    <row r="46" spans="1:10" ht="45" customHeight="1">
      <c r="A46" s="58">
        <v>43</v>
      </c>
      <c r="B46" s="1" t="s">
        <v>246</v>
      </c>
      <c r="C46" s="1" t="s">
        <v>54</v>
      </c>
      <c r="D46" s="1" t="s">
        <v>278</v>
      </c>
      <c r="E46" s="1" t="s">
        <v>256</v>
      </c>
      <c r="F46" s="1" t="s">
        <v>258</v>
      </c>
      <c r="G46" s="1" t="s">
        <v>257</v>
      </c>
      <c r="H46" s="1" t="s">
        <v>248</v>
      </c>
      <c r="I46" s="2" t="s">
        <v>279</v>
      </c>
      <c r="J46" s="84" t="s">
        <v>280</v>
      </c>
    </row>
    <row r="47" spans="1:10" ht="45" customHeight="1">
      <c r="A47" s="85">
        <v>44</v>
      </c>
      <c r="B47" s="3" t="s">
        <v>246</v>
      </c>
      <c r="C47" s="3" t="s">
        <v>54</v>
      </c>
      <c r="D47" s="3" t="s">
        <v>281</v>
      </c>
      <c r="E47" s="3" t="s">
        <v>255</v>
      </c>
      <c r="F47" s="3" t="s">
        <v>249</v>
      </c>
      <c r="G47" s="3" t="s">
        <v>262</v>
      </c>
      <c r="H47" s="3" t="s">
        <v>251</v>
      </c>
      <c r="I47" s="4" t="s">
        <v>282</v>
      </c>
      <c r="J47" s="86" t="s">
        <v>283</v>
      </c>
    </row>
    <row r="48" spans="1:10" ht="45" customHeight="1">
      <c r="A48" s="58">
        <v>45</v>
      </c>
      <c r="B48" s="1" t="s">
        <v>284</v>
      </c>
      <c r="C48" s="1" t="s">
        <v>54</v>
      </c>
      <c r="D48" s="1" t="s">
        <v>285</v>
      </c>
      <c r="E48" s="1" t="s">
        <v>286</v>
      </c>
      <c r="F48" s="1" t="s">
        <v>287</v>
      </c>
      <c r="G48" s="1" t="s">
        <v>288</v>
      </c>
      <c r="H48" s="1" t="s">
        <v>289</v>
      </c>
      <c r="I48" s="2" t="s">
        <v>290</v>
      </c>
      <c r="J48" s="84" t="s">
        <v>291</v>
      </c>
    </row>
    <row r="49" spans="1:10" ht="45" customHeight="1">
      <c r="A49" s="85">
        <v>46</v>
      </c>
      <c r="B49" s="3" t="s">
        <v>284</v>
      </c>
      <c r="C49" s="3" t="s">
        <v>54</v>
      </c>
      <c r="D49" s="3" t="s">
        <v>292</v>
      </c>
      <c r="E49" s="3" t="s">
        <v>289</v>
      </c>
      <c r="F49" s="3" t="s">
        <v>293</v>
      </c>
      <c r="G49" s="3" t="s">
        <v>294</v>
      </c>
      <c r="H49" s="3" t="s">
        <v>287</v>
      </c>
      <c r="I49" s="4" t="s">
        <v>295</v>
      </c>
      <c r="J49" s="86" t="s">
        <v>296</v>
      </c>
    </row>
    <row r="50" spans="1:10" ht="45" customHeight="1">
      <c r="A50" s="58">
        <v>47</v>
      </c>
      <c r="B50" s="1" t="s">
        <v>284</v>
      </c>
      <c r="C50" s="1" t="s">
        <v>54</v>
      </c>
      <c r="D50" s="1" t="s">
        <v>297</v>
      </c>
      <c r="E50" s="1" t="s">
        <v>298</v>
      </c>
      <c r="F50" s="1" t="s">
        <v>287</v>
      </c>
      <c r="G50" s="1" t="s">
        <v>289</v>
      </c>
      <c r="H50" s="1" t="s">
        <v>299</v>
      </c>
      <c r="I50" s="2" t="s">
        <v>300</v>
      </c>
      <c r="J50" s="84" t="s">
        <v>301</v>
      </c>
    </row>
    <row r="51" spans="1:10" ht="45" customHeight="1">
      <c r="A51" s="85">
        <v>48</v>
      </c>
      <c r="B51" s="3" t="s">
        <v>284</v>
      </c>
      <c r="C51" s="3" t="s">
        <v>113</v>
      </c>
      <c r="D51" s="3" t="s">
        <v>302</v>
      </c>
      <c r="E51" s="3" t="s">
        <v>115</v>
      </c>
      <c r="F51" s="3" t="s">
        <v>116</v>
      </c>
      <c r="G51" s="3"/>
      <c r="H51" s="3"/>
      <c r="I51" s="4" t="s">
        <v>115</v>
      </c>
      <c r="J51" s="86" t="s">
        <v>303</v>
      </c>
    </row>
    <row r="52" spans="1:10" ht="45" customHeight="1">
      <c r="A52" s="58">
        <v>49</v>
      </c>
      <c r="B52" s="1" t="s">
        <v>284</v>
      </c>
      <c r="C52" s="1" t="s">
        <v>113</v>
      </c>
      <c r="D52" s="1" t="s">
        <v>304</v>
      </c>
      <c r="E52" s="1" t="s">
        <v>115</v>
      </c>
      <c r="F52" s="1" t="s">
        <v>116</v>
      </c>
      <c r="G52" s="1"/>
      <c r="H52" s="1"/>
      <c r="I52" s="2" t="s">
        <v>115</v>
      </c>
      <c r="J52" s="84" t="s">
        <v>305</v>
      </c>
    </row>
    <row r="53" spans="1:10" ht="45" customHeight="1">
      <c r="A53" s="85">
        <v>50</v>
      </c>
      <c r="B53" s="3" t="s">
        <v>94</v>
      </c>
      <c r="C53" s="3" t="s">
        <v>54</v>
      </c>
      <c r="D53" s="3" t="s">
        <v>306</v>
      </c>
      <c r="E53" s="3" t="s">
        <v>307</v>
      </c>
      <c r="F53" s="3" t="s">
        <v>308</v>
      </c>
      <c r="G53" s="3" t="s">
        <v>309</v>
      </c>
      <c r="H53" s="3" t="s">
        <v>310</v>
      </c>
      <c r="I53" s="4" t="s">
        <v>311</v>
      </c>
      <c r="J53" s="86" t="s">
        <v>312</v>
      </c>
    </row>
    <row r="54" spans="1:10" ht="45" customHeight="1">
      <c r="A54" s="58">
        <v>51</v>
      </c>
      <c r="B54" s="1" t="s">
        <v>94</v>
      </c>
      <c r="C54" s="1" t="s">
        <v>54</v>
      </c>
      <c r="D54" s="1" t="s">
        <v>313</v>
      </c>
      <c r="E54" s="1" t="s">
        <v>314</v>
      </c>
      <c r="F54" s="1" t="s">
        <v>315</v>
      </c>
      <c r="G54" s="1" t="s">
        <v>316</v>
      </c>
      <c r="H54" s="1" t="s">
        <v>317</v>
      </c>
      <c r="I54" s="2" t="s">
        <v>318</v>
      </c>
      <c r="J54" s="84" t="s">
        <v>319</v>
      </c>
    </row>
    <row r="55" spans="1:10" ht="45" customHeight="1">
      <c r="A55" s="85">
        <v>52</v>
      </c>
      <c r="B55" s="3" t="s">
        <v>94</v>
      </c>
      <c r="C55" s="3" t="s">
        <v>54</v>
      </c>
      <c r="D55" s="3" t="s">
        <v>320</v>
      </c>
      <c r="E55" s="3" t="s">
        <v>321</v>
      </c>
      <c r="F55" s="3" t="s">
        <v>322</v>
      </c>
      <c r="G55" s="3" t="s">
        <v>287</v>
      </c>
      <c r="H55" s="3" t="s">
        <v>323</v>
      </c>
      <c r="I55" s="4" t="s">
        <v>324</v>
      </c>
      <c r="J55" s="86" t="s">
        <v>325</v>
      </c>
    </row>
    <row r="56" spans="1:10" ht="45" customHeight="1">
      <c r="A56" s="58">
        <v>53</v>
      </c>
      <c r="B56" s="1" t="s">
        <v>94</v>
      </c>
      <c r="C56" s="1" t="s">
        <v>54</v>
      </c>
      <c r="D56" s="1" t="s">
        <v>326</v>
      </c>
      <c r="E56" s="1" t="s">
        <v>314</v>
      </c>
      <c r="F56" s="1" t="s">
        <v>315</v>
      </c>
      <c r="G56" s="1" t="s">
        <v>316</v>
      </c>
      <c r="H56" s="1" t="s">
        <v>327</v>
      </c>
      <c r="I56" s="2" t="s">
        <v>328</v>
      </c>
      <c r="J56" s="84" t="s">
        <v>329</v>
      </c>
    </row>
    <row r="57" spans="1:10" ht="45" customHeight="1">
      <c r="A57" s="85">
        <v>54</v>
      </c>
      <c r="B57" s="3" t="s">
        <v>94</v>
      </c>
      <c r="C57" s="3" t="s">
        <v>113</v>
      </c>
      <c r="D57" s="3" t="s">
        <v>330</v>
      </c>
      <c r="E57" s="3" t="s">
        <v>115</v>
      </c>
      <c r="F57" s="3" t="s">
        <v>116</v>
      </c>
      <c r="G57" s="3"/>
      <c r="H57" s="3"/>
      <c r="I57" s="4" t="s">
        <v>115</v>
      </c>
      <c r="J57" s="86" t="s">
        <v>331</v>
      </c>
    </row>
    <row r="58" spans="1:10" ht="45" customHeight="1">
      <c r="A58" s="58">
        <v>55</v>
      </c>
      <c r="B58" s="1" t="s">
        <v>94</v>
      </c>
      <c r="C58" s="1" t="s">
        <v>113</v>
      </c>
      <c r="D58" s="1" t="s">
        <v>332</v>
      </c>
      <c r="E58" s="1" t="s">
        <v>115</v>
      </c>
      <c r="F58" s="1" t="s">
        <v>116</v>
      </c>
      <c r="G58" s="1"/>
      <c r="H58" s="1"/>
      <c r="I58" s="2" t="s">
        <v>116</v>
      </c>
      <c r="J58" s="84" t="s">
        <v>333</v>
      </c>
    </row>
    <row r="59" spans="1:10" ht="45" customHeight="1">
      <c r="A59" s="85">
        <v>56</v>
      </c>
      <c r="B59" s="3" t="s">
        <v>94</v>
      </c>
      <c r="C59" s="3" t="s">
        <v>113</v>
      </c>
      <c r="D59" s="3" t="s">
        <v>334</v>
      </c>
      <c r="E59" s="3" t="s">
        <v>115</v>
      </c>
      <c r="F59" s="3" t="s">
        <v>116</v>
      </c>
      <c r="G59" s="3"/>
      <c r="H59" s="3"/>
      <c r="I59" s="4" t="s">
        <v>115</v>
      </c>
      <c r="J59" s="86" t="s">
        <v>335</v>
      </c>
    </row>
    <row r="60" spans="1:10" ht="45" customHeight="1">
      <c r="A60" s="58">
        <v>57</v>
      </c>
      <c r="B60" s="1" t="s">
        <v>94</v>
      </c>
      <c r="C60" s="1" t="s">
        <v>113</v>
      </c>
      <c r="D60" s="1" t="s">
        <v>336</v>
      </c>
      <c r="E60" s="1" t="s">
        <v>115</v>
      </c>
      <c r="F60" s="1" t="s">
        <v>116</v>
      </c>
      <c r="G60" s="1"/>
      <c r="H60" s="1"/>
      <c r="I60" s="2" t="s">
        <v>116</v>
      </c>
      <c r="J60" s="84" t="s">
        <v>337</v>
      </c>
    </row>
    <row r="61" spans="1:10" ht="45" customHeight="1">
      <c r="A61" s="85">
        <v>58</v>
      </c>
      <c r="B61" s="3" t="s">
        <v>94</v>
      </c>
      <c r="C61" s="3" t="s">
        <v>113</v>
      </c>
      <c r="D61" s="3" t="s">
        <v>338</v>
      </c>
      <c r="E61" s="3" t="s">
        <v>115</v>
      </c>
      <c r="F61" s="3" t="s">
        <v>116</v>
      </c>
      <c r="G61" s="3"/>
      <c r="H61" s="3"/>
      <c r="I61" s="4" t="s">
        <v>115</v>
      </c>
      <c r="J61" s="86" t="s">
        <v>339</v>
      </c>
    </row>
    <row r="62" spans="1:10" ht="45" customHeight="1">
      <c r="A62" s="58">
        <v>59</v>
      </c>
      <c r="B62" s="1" t="s">
        <v>94</v>
      </c>
      <c r="C62" s="1" t="s">
        <v>113</v>
      </c>
      <c r="D62" s="1" t="s">
        <v>340</v>
      </c>
      <c r="E62" s="1" t="s">
        <v>115</v>
      </c>
      <c r="F62" s="1" t="s">
        <v>116</v>
      </c>
      <c r="G62" s="1"/>
      <c r="H62" s="1"/>
      <c r="I62" s="2" t="s">
        <v>116</v>
      </c>
      <c r="J62" s="84" t="s">
        <v>341</v>
      </c>
    </row>
    <row r="63" spans="1:10" ht="45" customHeight="1">
      <c r="A63" s="85">
        <v>60</v>
      </c>
      <c r="B63" s="3" t="s">
        <v>94</v>
      </c>
      <c r="C63" s="3" t="s">
        <v>113</v>
      </c>
      <c r="D63" s="3" t="s">
        <v>342</v>
      </c>
      <c r="E63" s="3" t="s">
        <v>115</v>
      </c>
      <c r="F63" s="3" t="s">
        <v>116</v>
      </c>
      <c r="G63" s="3"/>
      <c r="H63" s="3"/>
      <c r="I63" s="4" t="s">
        <v>115</v>
      </c>
      <c r="J63" s="86" t="s">
        <v>343</v>
      </c>
    </row>
    <row r="64" spans="1:10" ht="45" customHeight="1">
      <c r="A64" s="58">
        <v>61</v>
      </c>
      <c r="B64" s="1" t="s">
        <v>94</v>
      </c>
      <c r="C64" s="1" t="s">
        <v>113</v>
      </c>
      <c r="D64" s="1" t="s">
        <v>344</v>
      </c>
      <c r="E64" s="1" t="s">
        <v>115</v>
      </c>
      <c r="F64" s="1" t="s">
        <v>116</v>
      </c>
      <c r="G64" s="1"/>
      <c r="H64" s="1"/>
      <c r="I64" s="2" t="s">
        <v>115</v>
      </c>
      <c r="J64" s="84" t="s">
        <v>345</v>
      </c>
    </row>
    <row r="65" spans="1:10" ht="45" customHeight="1">
      <c r="A65" s="85">
        <v>62</v>
      </c>
      <c r="B65" s="3" t="s">
        <v>94</v>
      </c>
      <c r="C65" s="3" t="s">
        <v>113</v>
      </c>
      <c r="D65" s="3" t="s">
        <v>346</v>
      </c>
      <c r="E65" s="3" t="s">
        <v>115</v>
      </c>
      <c r="F65" s="3" t="s">
        <v>116</v>
      </c>
      <c r="G65" s="3"/>
      <c r="H65" s="3"/>
      <c r="I65" s="4" t="s">
        <v>116</v>
      </c>
      <c r="J65" s="86" t="s">
        <v>347</v>
      </c>
    </row>
    <row r="66" spans="1:10" ht="45" customHeight="1">
      <c r="A66" s="58">
        <v>63</v>
      </c>
      <c r="B66" s="1" t="s">
        <v>94</v>
      </c>
      <c r="C66" s="1" t="s">
        <v>113</v>
      </c>
      <c r="D66" s="1" t="s">
        <v>348</v>
      </c>
      <c r="E66" s="1" t="s">
        <v>115</v>
      </c>
      <c r="F66" s="1" t="s">
        <v>116</v>
      </c>
      <c r="G66" s="1"/>
      <c r="H66" s="1"/>
      <c r="I66" s="2" t="s">
        <v>116</v>
      </c>
      <c r="J66" s="84" t="s">
        <v>349</v>
      </c>
    </row>
    <row r="67" spans="1:10" ht="45" customHeight="1">
      <c r="A67" s="85">
        <v>64</v>
      </c>
      <c r="B67" s="3" t="s">
        <v>94</v>
      </c>
      <c r="C67" s="3" t="s">
        <v>113</v>
      </c>
      <c r="D67" s="3" t="s">
        <v>350</v>
      </c>
      <c r="E67" s="3" t="s">
        <v>115</v>
      </c>
      <c r="F67" s="3" t="s">
        <v>116</v>
      </c>
      <c r="G67" s="3"/>
      <c r="H67" s="3"/>
      <c r="I67" s="4" t="s">
        <v>115</v>
      </c>
      <c r="J67" s="86" t="s">
        <v>351</v>
      </c>
    </row>
    <row r="68" spans="1:10" ht="45" customHeight="1">
      <c r="A68" s="58">
        <v>65</v>
      </c>
      <c r="B68" s="1" t="s">
        <v>284</v>
      </c>
      <c r="C68" s="1" t="s">
        <v>54</v>
      </c>
      <c r="D68" s="1" t="s">
        <v>352</v>
      </c>
      <c r="E68" s="1" t="s">
        <v>353</v>
      </c>
      <c r="F68" s="1" t="s">
        <v>354</v>
      </c>
      <c r="G68" s="1" t="s">
        <v>355</v>
      </c>
      <c r="H68" s="1" t="s">
        <v>356</v>
      </c>
      <c r="I68" s="2" t="s">
        <v>357</v>
      </c>
      <c r="J68" s="84" t="s">
        <v>358</v>
      </c>
    </row>
    <row r="69" spans="1:10" ht="45" customHeight="1">
      <c r="A69" s="85">
        <v>66</v>
      </c>
      <c r="B69" s="3" t="s">
        <v>8</v>
      </c>
      <c r="C69" s="3" t="s">
        <v>54</v>
      </c>
      <c r="D69" s="3" t="s">
        <v>359</v>
      </c>
      <c r="E69" s="3" t="s">
        <v>94</v>
      </c>
      <c r="F69" s="3" t="s">
        <v>92</v>
      </c>
      <c r="G69" s="3" t="s">
        <v>95</v>
      </c>
      <c r="H69" s="3" t="s">
        <v>71</v>
      </c>
      <c r="I69" s="4" t="s">
        <v>360</v>
      </c>
      <c r="J69" s="86" t="s">
        <v>361</v>
      </c>
    </row>
    <row r="70" spans="1:10" ht="45" customHeight="1">
      <c r="A70" s="58">
        <v>67</v>
      </c>
      <c r="B70" s="1" t="s">
        <v>118</v>
      </c>
      <c r="C70" s="1" t="s">
        <v>54</v>
      </c>
      <c r="D70" s="1" t="s">
        <v>362</v>
      </c>
      <c r="E70" s="1" t="s">
        <v>363</v>
      </c>
      <c r="F70" s="1" t="s">
        <v>364</v>
      </c>
      <c r="G70" s="1" t="s">
        <v>365</v>
      </c>
      <c r="H70" s="1" t="s">
        <v>366</v>
      </c>
      <c r="I70" s="2" t="s">
        <v>367</v>
      </c>
      <c r="J70" s="84" t="s">
        <v>124</v>
      </c>
    </row>
    <row r="71" spans="1:10" ht="45" customHeight="1">
      <c r="A71" s="85">
        <v>68</v>
      </c>
      <c r="B71" s="3" t="s">
        <v>94</v>
      </c>
      <c r="C71" s="3" t="s">
        <v>54</v>
      </c>
      <c r="D71" s="3" t="s">
        <v>368</v>
      </c>
      <c r="E71" s="3" t="s">
        <v>369</v>
      </c>
      <c r="F71" s="3" t="s">
        <v>370</v>
      </c>
      <c r="G71" s="3" t="s">
        <v>371</v>
      </c>
      <c r="H71" s="3" t="s">
        <v>372</v>
      </c>
      <c r="I71" s="4" t="s">
        <v>373</v>
      </c>
      <c r="J71" s="86" t="s">
        <v>374</v>
      </c>
    </row>
    <row r="72" spans="1:10" ht="45" customHeight="1">
      <c r="A72" s="58">
        <v>69</v>
      </c>
      <c r="B72" s="1" t="s">
        <v>69</v>
      </c>
      <c r="C72" s="1" t="s">
        <v>54</v>
      </c>
      <c r="D72" s="1" t="s">
        <v>375</v>
      </c>
      <c r="E72" s="1" t="s">
        <v>376</v>
      </c>
      <c r="F72" s="1" t="s">
        <v>377</v>
      </c>
      <c r="G72" s="1" t="s">
        <v>378</v>
      </c>
      <c r="H72" s="1" t="s">
        <v>379</v>
      </c>
      <c r="I72" s="2" t="s">
        <v>380</v>
      </c>
      <c r="J72" s="84" t="s">
        <v>381</v>
      </c>
    </row>
    <row r="73" spans="1:10" ht="45" customHeight="1">
      <c r="A73" s="85">
        <v>70</v>
      </c>
      <c r="B73" s="3" t="s">
        <v>284</v>
      </c>
      <c r="C73" s="3" t="s">
        <v>54</v>
      </c>
      <c r="D73" s="3" t="s">
        <v>382</v>
      </c>
      <c r="E73" s="3" t="s">
        <v>354</v>
      </c>
      <c r="F73" s="3" t="s">
        <v>355</v>
      </c>
      <c r="G73" s="3" t="s">
        <v>353</v>
      </c>
      <c r="H73" s="3" t="s">
        <v>159</v>
      </c>
      <c r="I73" s="4" t="s">
        <v>383</v>
      </c>
      <c r="J73" s="86" t="s">
        <v>384</v>
      </c>
    </row>
    <row r="74" spans="1:10" ht="45" customHeight="1">
      <c r="A74" s="58">
        <v>71</v>
      </c>
      <c r="B74" s="1" t="s">
        <v>246</v>
      </c>
      <c r="C74" s="1" t="s">
        <v>54</v>
      </c>
      <c r="D74" s="1" t="s">
        <v>385</v>
      </c>
      <c r="E74" s="1" t="s">
        <v>386</v>
      </c>
      <c r="F74" s="1" t="s">
        <v>387</v>
      </c>
      <c r="G74" s="1" t="s">
        <v>388</v>
      </c>
      <c r="H74" s="1" t="s">
        <v>365</v>
      </c>
      <c r="I74" s="2" t="s">
        <v>389</v>
      </c>
      <c r="J74" s="84" t="s">
        <v>390</v>
      </c>
    </row>
    <row r="75" spans="1:10" ht="45" customHeight="1">
      <c r="A75" s="85">
        <v>72</v>
      </c>
      <c r="B75" s="3" t="s">
        <v>284</v>
      </c>
      <c r="C75" s="3" t="s">
        <v>54</v>
      </c>
      <c r="D75" s="3" t="s">
        <v>391</v>
      </c>
      <c r="E75" s="3" t="s">
        <v>370</v>
      </c>
      <c r="F75" s="3" t="s">
        <v>369</v>
      </c>
      <c r="G75" s="3" t="s">
        <v>372</v>
      </c>
      <c r="H75" s="3" t="s">
        <v>392</v>
      </c>
      <c r="I75" s="4" t="s">
        <v>393</v>
      </c>
      <c r="J75" s="86" t="s">
        <v>394</v>
      </c>
    </row>
    <row r="76" spans="1:10" ht="45" customHeight="1">
      <c r="A76" s="58">
        <v>73</v>
      </c>
      <c r="B76" s="1" t="s">
        <v>284</v>
      </c>
      <c r="C76" s="1" t="s">
        <v>54</v>
      </c>
      <c r="D76" s="1" t="s">
        <v>395</v>
      </c>
      <c r="E76" s="1" t="s">
        <v>396</v>
      </c>
      <c r="F76" s="1" t="s">
        <v>355</v>
      </c>
      <c r="G76" s="1" t="s">
        <v>353</v>
      </c>
      <c r="H76" s="1" t="s">
        <v>397</v>
      </c>
      <c r="I76" s="2" t="s">
        <v>398</v>
      </c>
      <c r="J76" s="84" t="s">
        <v>399</v>
      </c>
    </row>
    <row r="77" spans="1:10" ht="45" customHeight="1">
      <c r="A77" s="85">
        <v>74</v>
      </c>
      <c r="B77" s="3" t="s">
        <v>246</v>
      </c>
      <c r="C77" s="3" t="s">
        <v>54</v>
      </c>
      <c r="D77" s="3" t="s">
        <v>400</v>
      </c>
      <c r="E77" s="3" t="s">
        <v>364</v>
      </c>
      <c r="F77" s="3" t="s">
        <v>249</v>
      </c>
      <c r="G77" s="3" t="s">
        <v>365</v>
      </c>
      <c r="H77" s="3" t="s">
        <v>256</v>
      </c>
      <c r="I77" s="4" t="s">
        <v>273</v>
      </c>
      <c r="J77" s="86" t="s">
        <v>401</v>
      </c>
    </row>
    <row r="78" spans="1:10" ht="45" customHeight="1">
      <c r="A78" s="87">
        <v>75</v>
      </c>
      <c r="B78" s="88" t="s">
        <v>8</v>
      </c>
      <c r="C78" s="88" t="s">
        <v>54</v>
      </c>
      <c r="D78" s="88" t="s">
        <v>402</v>
      </c>
      <c r="E78" s="88" t="s">
        <v>403</v>
      </c>
      <c r="F78" s="88" t="s">
        <v>379</v>
      </c>
      <c r="G78" s="88" t="s">
        <v>404</v>
      </c>
      <c r="H78" s="88" t="s">
        <v>93</v>
      </c>
      <c r="I78" s="89" t="s">
        <v>405</v>
      </c>
      <c r="J78" s="90" t="s">
        <v>406</v>
      </c>
    </row>
    <row r="79" spans="1:10" ht="15.75" customHeight="1">
      <c r="A79">
        <v>76</v>
      </c>
      <c r="B79" t="s">
        <v>203</v>
      </c>
      <c r="C79" t="s">
        <v>54</v>
      </c>
      <c r="D79" s="5" t="s">
        <v>817</v>
      </c>
      <c r="E79" t="s">
        <v>818</v>
      </c>
      <c r="F79" t="s">
        <v>819</v>
      </c>
      <c r="G79" t="s">
        <v>820</v>
      </c>
      <c r="H79" t="s">
        <v>821</v>
      </c>
      <c r="I79" t="s">
        <v>822</v>
      </c>
      <c r="J79" s="5" t="s">
        <v>823</v>
      </c>
    </row>
    <row r="80" spans="1:10" ht="15.75" customHeight="1">
      <c r="A80">
        <v>77</v>
      </c>
      <c r="B80" t="s">
        <v>203</v>
      </c>
      <c r="C80" t="s">
        <v>54</v>
      </c>
      <c r="D80" s="5" t="s">
        <v>824</v>
      </c>
      <c r="E80" t="s">
        <v>825</v>
      </c>
      <c r="F80" t="s">
        <v>826</v>
      </c>
      <c r="G80" t="s">
        <v>827</v>
      </c>
      <c r="H80" t="s">
        <v>828</v>
      </c>
      <c r="I80" t="s">
        <v>829</v>
      </c>
      <c r="J80" s="5" t="s">
        <v>830</v>
      </c>
    </row>
    <row r="81" spans="1:10" ht="15.75" customHeight="1">
      <c r="A81">
        <v>78</v>
      </c>
      <c r="B81" t="s">
        <v>203</v>
      </c>
      <c r="C81" t="s">
        <v>54</v>
      </c>
      <c r="D81" s="5" t="s">
        <v>831</v>
      </c>
      <c r="E81" t="s">
        <v>832</v>
      </c>
      <c r="F81" t="s">
        <v>833</v>
      </c>
      <c r="G81" t="s">
        <v>834</v>
      </c>
      <c r="H81" t="s">
        <v>835</v>
      </c>
      <c r="I81" t="s">
        <v>836</v>
      </c>
      <c r="J81" s="5" t="s">
        <v>837</v>
      </c>
    </row>
    <row r="82" spans="1:10" ht="45.95" customHeight="1">
      <c r="A82" s="7">
        <v>79</v>
      </c>
      <c r="B82" s="7" t="s">
        <v>838</v>
      </c>
      <c r="C82" s="7" t="s">
        <v>54</v>
      </c>
      <c r="D82" s="7" t="s">
        <v>839</v>
      </c>
      <c r="E82" s="7" t="s">
        <v>840</v>
      </c>
      <c r="F82" s="7" t="s">
        <v>841</v>
      </c>
      <c r="G82" s="7" t="s">
        <v>842</v>
      </c>
      <c r="H82" s="7" t="s">
        <v>843</v>
      </c>
      <c r="I82" s="7" t="s">
        <v>844</v>
      </c>
      <c r="J82" s="7" t="s">
        <v>845</v>
      </c>
    </row>
    <row r="83" spans="1:10" ht="45.95" customHeight="1">
      <c r="A83" s="7">
        <v>80</v>
      </c>
      <c r="B83" s="7" t="s">
        <v>838</v>
      </c>
      <c r="C83" s="7" t="s">
        <v>54</v>
      </c>
      <c r="D83" s="7" t="s">
        <v>846</v>
      </c>
      <c r="E83" s="7" t="s">
        <v>847</v>
      </c>
      <c r="F83" s="7" t="s">
        <v>848</v>
      </c>
      <c r="G83" s="7" t="s">
        <v>849</v>
      </c>
      <c r="H83" s="7" t="s">
        <v>850</v>
      </c>
      <c r="I83" s="7" t="s">
        <v>851</v>
      </c>
      <c r="J83" s="7" t="s">
        <v>852</v>
      </c>
    </row>
    <row r="84" spans="1:10" ht="45.95" customHeight="1">
      <c r="A84" s="7">
        <v>81</v>
      </c>
      <c r="B84" s="7" t="s">
        <v>838</v>
      </c>
      <c r="C84" s="7" t="s">
        <v>54</v>
      </c>
      <c r="D84" s="7" t="s">
        <v>853</v>
      </c>
      <c r="E84" s="7" t="s">
        <v>854</v>
      </c>
      <c r="F84" s="7" t="s">
        <v>855</v>
      </c>
      <c r="G84" s="7" t="s">
        <v>848</v>
      </c>
      <c r="H84" s="7" t="s">
        <v>856</v>
      </c>
      <c r="I84" s="7" t="s">
        <v>857</v>
      </c>
      <c r="J84" s="7" t="s">
        <v>858</v>
      </c>
    </row>
    <row r="85" spans="1:10" ht="45.95" customHeight="1">
      <c r="A85" s="7">
        <v>82</v>
      </c>
      <c r="B85" s="7" t="s">
        <v>838</v>
      </c>
      <c r="C85" s="7" t="s">
        <v>54</v>
      </c>
      <c r="D85" s="7" t="s">
        <v>859</v>
      </c>
      <c r="E85" s="7" t="s">
        <v>847</v>
      </c>
      <c r="F85" s="7" t="s">
        <v>849</v>
      </c>
      <c r="G85" s="7" t="s">
        <v>860</v>
      </c>
      <c r="H85" s="7" t="s">
        <v>861</v>
      </c>
      <c r="I85" s="7" t="s">
        <v>862</v>
      </c>
      <c r="J85" s="7" t="s">
        <v>863</v>
      </c>
    </row>
    <row r="86" spans="1:10" ht="45.95" customHeight="1">
      <c r="A86" s="7">
        <v>83</v>
      </c>
      <c r="B86" s="7" t="s">
        <v>838</v>
      </c>
      <c r="C86" s="7" t="s">
        <v>54</v>
      </c>
      <c r="D86" s="7" t="s">
        <v>864</v>
      </c>
      <c r="E86" s="7" t="s">
        <v>865</v>
      </c>
      <c r="F86" s="7" t="s">
        <v>866</v>
      </c>
      <c r="G86" s="7" t="s">
        <v>867</v>
      </c>
      <c r="H86" s="7" t="s">
        <v>868</v>
      </c>
      <c r="I86" s="7" t="s">
        <v>869</v>
      </c>
      <c r="J86" s="7" t="s">
        <v>870</v>
      </c>
    </row>
    <row r="87" spans="1:10" ht="45.95" customHeight="1">
      <c r="A87" s="7">
        <v>84</v>
      </c>
      <c r="B87" s="7" t="s">
        <v>838</v>
      </c>
      <c r="C87" s="7" t="s">
        <v>54</v>
      </c>
      <c r="D87" s="7" t="s">
        <v>871</v>
      </c>
      <c r="E87" s="7" t="s">
        <v>872</v>
      </c>
      <c r="F87" s="7" t="s">
        <v>873</v>
      </c>
      <c r="G87" s="7" t="s">
        <v>874</v>
      </c>
      <c r="H87" s="7" t="s">
        <v>875</v>
      </c>
      <c r="I87" s="7" t="s">
        <v>876</v>
      </c>
      <c r="J87" s="7" t="s">
        <v>877</v>
      </c>
    </row>
    <row r="88" spans="1:10" ht="45.95" customHeight="1">
      <c r="A88" s="7">
        <v>85</v>
      </c>
      <c r="B88" s="7" t="s">
        <v>838</v>
      </c>
      <c r="C88" s="7" t="s">
        <v>54</v>
      </c>
      <c r="D88" s="7" t="s">
        <v>878</v>
      </c>
      <c r="E88" s="7" t="s">
        <v>879</v>
      </c>
      <c r="F88" s="7" t="s">
        <v>880</v>
      </c>
      <c r="G88" s="7" t="s">
        <v>881</v>
      </c>
      <c r="H88" s="7" t="s">
        <v>882</v>
      </c>
      <c r="I88" s="7" t="s">
        <v>883</v>
      </c>
      <c r="J88" s="7" t="s">
        <v>884</v>
      </c>
    </row>
    <row r="89" spans="1:10" ht="45.95" customHeight="1">
      <c r="A89" s="7">
        <v>86</v>
      </c>
      <c r="B89" s="7" t="s">
        <v>838</v>
      </c>
      <c r="C89" s="7" t="s">
        <v>54</v>
      </c>
      <c r="D89" s="7" t="s">
        <v>885</v>
      </c>
      <c r="E89" s="7" t="s">
        <v>886</v>
      </c>
      <c r="F89" s="7" t="s">
        <v>887</v>
      </c>
      <c r="G89" s="7" t="s">
        <v>888</v>
      </c>
      <c r="H89" s="7" t="s">
        <v>889</v>
      </c>
      <c r="I89" s="7" t="s">
        <v>890</v>
      </c>
      <c r="J89" s="7" t="s">
        <v>891</v>
      </c>
    </row>
    <row r="90" spans="1:10" ht="45.95" customHeight="1">
      <c r="A90" s="7">
        <v>87</v>
      </c>
      <c r="B90" s="7" t="s">
        <v>892</v>
      </c>
      <c r="C90" s="7" t="s">
        <v>54</v>
      </c>
      <c r="D90" s="7" t="s">
        <v>893</v>
      </c>
      <c r="E90" s="7" t="s">
        <v>92</v>
      </c>
      <c r="F90" s="7" t="s">
        <v>93</v>
      </c>
      <c r="G90" s="7" t="s">
        <v>894</v>
      </c>
      <c r="H90" s="7" t="s">
        <v>895</v>
      </c>
      <c r="I90" s="7" t="s">
        <v>96</v>
      </c>
      <c r="J90" s="7" t="s">
        <v>896</v>
      </c>
    </row>
    <row r="91" spans="1:10" ht="45.95" customHeight="1">
      <c r="A91" s="7">
        <v>88</v>
      </c>
      <c r="B91" s="7" t="s">
        <v>892</v>
      </c>
      <c r="C91" s="7" t="s">
        <v>54</v>
      </c>
      <c r="D91" s="7" t="s">
        <v>897</v>
      </c>
      <c r="E91" s="7" t="s">
        <v>105</v>
      </c>
      <c r="F91" s="7" t="s">
        <v>104</v>
      </c>
      <c r="G91" s="7" t="s">
        <v>86</v>
      </c>
      <c r="H91" s="7" t="s">
        <v>87</v>
      </c>
      <c r="I91" s="7" t="s">
        <v>898</v>
      </c>
      <c r="J91" s="7" t="s">
        <v>899</v>
      </c>
    </row>
    <row r="92" spans="1:10" ht="45.95" customHeight="1">
      <c r="A92" s="7">
        <v>89</v>
      </c>
      <c r="B92" s="7" t="s">
        <v>892</v>
      </c>
      <c r="C92" s="7" t="s">
        <v>54</v>
      </c>
      <c r="D92" s="7" t="s">
        <v>900</v>
      </c>
      <c r="E92" s="7" t="s">
        <v>105</v>
      </c>
      <c r="F92" s="7" t="s">
        <v>86</v>
      </c>
      <c r="G92" s="7" t="s">
        <v>901</v>
      </c>
      <c r="H92" s="7" t="s">
        <v>902</v>
      </c>
      <c r="I92" s="7" t="s">
        <v>903</v>
      </c>
      <c r="J92" s="7" t="s">
        <v>904</v>
      </c>
    </row>
    <row r="93" spans="1:10" ht="45.95" customHeight="1">
      <c r="A93" s="7">
        <v>90</v>
      </c>
      <c r="B93" s="7" t="s">
        <v>741</v>
      </c>
      <c r="C93" s="7" t="s">
        <v>54</v>
      </c>
      <c r="D93" s="7" t="s">
        <v>905</v>
      </c>
      <c r="E93" s="7" t="s">
        <v>906</v>
      </c>
      <c r="F93" s="7" t="s">
        <v>907</v>
      </c>
      <c r="G93" s="7" t="s">
        <v>908</v>
      </c>
      <c r="H93" s="7" t="s">
        <v>909</v>
      </c>
      <c r="I93" s="7" t="s">
        <v>910</v>
      </c>
      <c r="J93" s="7" t="s">
        <v>911</v>
      </c>
    </row>
    <row r="94" spans="1:10" ht="45.95" customHeight="1">
      <c r="A94" s="7">
        <v>91</v>
      </c>
      <c r="B94" s="7" t="s">
        <v>741</v>
      </c>
      <c r="C94" s="7" t="s">
        <v>54</v>
      </c>
      <c r="D94" s="7" t="s">
        <v>912</v>
      </c>
      <c r="E94" s="7" t="s">
        <v>758</v>
      </c>
      <c r="F94" s="7" t="s">
        <v>750</v>
      </c>
      <c r="G94" s="7" t="s">
        <v>754</v>
      </c>
      <c r="H94" s="7" t="s">
        <v>850</v>
      </c>
      <c r="I94" s="7" t="s">
        <v>913</v>
      </c>
      <c r="J94" s="7" t="s">
        <v>914</v>
      </c>
    </row>
    <row r="95" spans="1:10" ht="45.95" customHeight="1">
      <c r="A95" s="7">
        <v>92</v>
      </c>
      <c r="B95" s="7" t="s">
        <v>741</v>
      </c>
      <c r="C95" s="7" t="s">
        <v>54</v>
      </c>
      <c r="D95" s="7" t="s">
        <v>915</v>
      </c>
      <c r="E95" s="7" t="s">
        <v>750</v>
      </c>
      <c r="F95" s="7" t="s">
        <v>754</v>
      </c>
      <c r="G95" s="7" t="s">
        <v>758</v>
      </c>
      <c r="H95" s="7" t="s">
        <v>916</v>
      </c>
      <c r="I95" s="7" t="s">
        <v>917</v>
      </c>
      <c r="J95" s="7" t="s">
        <v>918</v>
      </c>
    </row>
    <row r="96" spans="1:10" ht="45.95" customHeight="1">
      <c r="A96" s="7">
        <v>93</v>
      </c>
      <c r="B96" s="7" t="s">
        <v>741</v>
      </c>
      <c r="C96" s="7" t="s">
        <v>54</v>
      </c>
      <c r="D96" s="7" t="s">
        <v>919</v>
      </c>
      <c r="E96" s="7" t="s">
        <v>920</v>
      </c>
      <c r="F96" s="7" t="s">
        <v>921</v>
      </c>
      <c r="G96" s="7" t="s">
        <v>922</v>
      </c>
      <c r="H96" s="7" t="s">
        <v>923</v>
      </c>
      <c r="I96" s="7" t="s">
        <v>924</v>
      </c>
      <c r="J96" s="7" t="s">
        <v>925</v>
      </c>
    </row>
    <row r="97" spans="1:10" ht="45.95" customHeight="1">
      <c r="A97" s="7">
        <v>94</v>
      </c>
      <c r="B97" s="7" t="s">
        <v>741</v>
      </c>
      <c r="C97" s="7" t="s">
        <v>54</v>
      </c>
      <c r="D97" s="7" t="s">
        <v>926</v>
      </c>
      <c r="E97" s="7" t="s">
        <v>927</v>
      </c>
      <c r="F97" s="7" t="s">
        <v>928</v>
      </c>
      <c r="G97" s="7" t="s">
        <v>929</v>
      </c>
      <c r="H97" s="7" t="s">
        <v>930</v>
      </c>
      <c r="I97" s="7" t="s">
        <v>931</v>
      </c>
      <c r="J97" s="7" t="s">
        <v>932</v>
      </c>
    </row>
    <row r="98" spans="1:10" ht="45.95" customHeight="1">
      <c r="A98" s="7">
        <v>95</v>
      </c>
      <c r="B98" s="7" t="s">
        <v>741</v>
      </c>
      <c r="C98" s="7" t="s">
        <v>54</v>
      </c>
      <c r="D98" s="7" t="s">
        <v>933</v>
      </c>
      <c r="E98" s="7" t="s">
        <v>934</v>
      </c>
      <c r="F98" s="7" t="s">
        <v>935</v>
      </c>
      <c r="G98" s="7" t="s">
        <v>936</v>
      </c>
      <c r="H98" s="7" t="s">
        <v>937</v>
      </c>
      <c r="I98" s="7" t="s">
        <v>938</v>
      </c>
      <c r="J98" s="7" t="s">
        <v>939</v>
      </c>
    </row>
    <row r="99" spans="1:10" ht="45.95" customHeight="1">
      <c r="A99" s="7">
        <v>96</v>
      </c>
      <c r="B99" s="7" t="s">
        <v>741</v>
      </c>
      <c r="C99" s="7" t="s">
        <v>54</v>
      </c>
      <c r="D99" s="7" t="s">
        <v>940</v>
      </c>
      <c r="E99" s="7" t="s">
        <v>850</v>
      </c>
      <c r="F99" s="7" t="s">
        <v>941</v>
      </c>
      <c r="G99" s="7" t="s">
        <v>942</v>
      </c>
      <c r="H99" s="7" t="s">
        <v>943</v>
      </c>
      <c r="I99" s="7" t="s">
        <v>944</v>
      </c>
      <c r="J99" s="7" t="s">
        <v>945</v>
      </c>
    </row>
    <row r="100" spans="1:10" ht="45.95" customHeight="1">
      <c r="A100" s="7">
        <v>97</v>
      </c>
      <c r="B100" s="7" t="s">
        <v>741</v>
      </c>
      <c r="C100" s="7" t="s">
        <v>54</v>
      </c>
      <c r="D100" s="7" t="s">
        <v>946</v>
      </c>
      <c r="E100" s="7" t="s">
        <v>947</v>
      </c>
      <c r="F100" s="7" t="s">
        <v>948</v>
      </c>
      <c r="G100" s="7" t="s">
        <v>949</v>
      </c>
      <c r="H100" s="7" t="s">
        <v>950</v>
      </c>
      <c r="I100" s="7" t="s">
        <v>951</v>
      </c>
      <c r="J100" s="7" t="s">
        <v>952</v>
      </c>
    </row>
    <row r="101" spans="1:10" ht="45.95" customHeight="1">
      <c r="A101" s="7">
        <v>98</v>
      </c>
      <c r="B101" s="7" t="s">
        <v>741</v>
      </c>
      <c r="C101" s="7" t="s">
        <v>54</v>
      </c>
      <c r="D101" s="7" t="s">
        <v>953</v>
      </c>
      <c r="E101" s="7" t="s">
        <v>947</v>
      </c>
      <c r="F101" s="7" t="s">
        <v>948</v>
      </c>
      <c r="G101" s="7" t="s">
        <v>954</v>
      </c>
      <c r="H101" s="7" t="s">
        <v>955</v>
      </c>
      <c r="I101" s="7" t="s">
        <v>956</v>
      </c>
      <c r="J101" s="7" t="s">
        <v>957</v>
      </c>
    </row>
    <row r="102" spans="1:10" ht="45.95" customHeight="1">
      <c r="A102" s="7">
        <v>99</v>
      </c>
      <c r="B102" s="7" t="s">
        <v>741</v>
      </c>
      <c r="C102" s="7" t="s">
        <v>54</v>
      </c>
      <c r="D102" s="7" t="s">
        <v>958</v>
      </c>
      <c r="E102" s="7" t="s">
        <v>735</v>
      </c>
      <c r="F102" s="7" t="s">
        <v>959</v>
      </c>
      <c r="G102" s="7" t="s">
        <v>763</v>
      </c>
      <c r="H102" s="7" t="s">
        <v>960</v>
      </c>
      <c r="I102" s="7" t="s">
        <v>961</v>
      </c>
      <c r="J102" s="7" t="s">
        <v>962</v>
      </c>
    </row>
    <row r="103" spans="1:10" ht="45.95" customHeight="1">
      <c r="A103" s="7">
        <v>100</v>
      </c>
      <c r="B103" s="7" t="s">
        <v>741</v>
      </c>
      <c r="C103" s="7" t="s">
        <v>54</v>
      </c>
      <c r="D103" s="7" t="s">
        <v>963</v>
      </c>
      <c r="E103" s="7" t="s">
        <v>964</v>
      </c>
      <c r="F103" s="7" t="s">
        <v>965</v>
      </c>
      <c r="G103" s="7" t="s">
        <v>966</v>
      </c>
      <c r="H103" s="7" t="s">
        <v>967</v>
      </c>
      <c r="I103" s="7" t="s">
        <v>968</v>
      </c>
      <c r="J103" s="7" t="s">
        <v>969</v>
      </c>
    </row>
    <row r="104" spans="1:10" ht="45.95" customHeight="1">
      <c r="A104" s="7">
        <v>101</v>
      </c>
      <c r="B104" s="7" t="s">
        <v>741</v>
      </c>
      <c r="C104" s="7" t="s">
        <v>54</v>
      </c>
      <c r="D104" s="7" t="s">
        <v>970</v>
      </c>
      <c r="E104" s="7" t="s">
        <v>971</v>
      </c>
      <c r="F104" s="7" t="s">
        <v>972</v>
      </c>
      <c r="G104" s="7" t="s">
        <v>973</v>
      </c>
      <c r="H104" s="7" t="s">
        <v>974</v>
      </c>
      <c r="I104" s="7" t="s">
        <v>975</v>
      </c>
      <c r="J104" s="7" t="s">
        <v>976</v>
      </c>
    </row>
    <row r="105" spans="1:10" ht="45.95" customHeight="1">
      <c r="A105" s="7">
        <v>102</v>
      </c>
      <c r="B105" s="7" t="s">
        <v>741</v>
      </c>
      <c r="C105" s="7" t="s">
        <v>54</v>
      </c>
      <c r="D105" s="7" t="s">
        <v>977</v>
      </c>
      <c r="E105" s="7" t="s">
        <v>978</v>
      </c>
      <c r="F105" s="7" t="s">
        <v>979</v>
      </c>
      <c r="G105" s="7" t="s">
        <v>980</v>
      </c>
      <c r="H105" s="7" t="s">
        <v>981</v>
      </c>
      <c r="I105" s="7" t="s">
        <v>982</v>
      </c>
      <c r="J105" s="7" t="s">
        <v>983</v>
      </c>
    </row>
    <row r="106" spans="1:10" ht="45.95" customHeight="1">
      <c r="A106" s="7">
        <v>103</v>
      </c>
      <c r="B106" s="7" t="s">
        <v>984</v>
      </c>
      <c r="C106" s="7" t="s">
        <v>54</v>
      </c>
      <c r="D106" s="7" t="s">
        <v>985</v>
      </c>
      <c r="E106" s="7" t="s">
        <v>901</v>
      </c>
      <c r="F106" s="7" t="s">
        <v>86</v>
      </c>
      <c r="G106" s="7" t="s">
        <v>105</v>
      </c>
      <c r="H106" s="7" t="s">
        <v>104</v>
      </c>
      <c r="I106" s="7" t="s">
        <v>986</v>
      </c>
      <c r="J106" s="7" t="s">
        <v>987</v>
      </c>
    </row>
    <row r="107" spans="1:10" ht="45.95" customHeight="1">
      <c r="A107" s="7">
        <v>104</v>
      </c>
      <c r="B107" s="7" t="s">
        <v>984</v>
      </c>
      <c r="C107" s="7" t="s">
        <v>54</v>
      </c>
      <c r="D107" s="7" t="s">
        <v>988</v>
      </c>
      <c r="E107" s="7" t="s">
        <v>989</v>
      </c>
      <c r="F107" s="7" t="s">
        <v>990</v>
      </c>
      <c r="G107" s="7" t="s">
        <v>991</v>
      </c>
      <c r="H107" s="7" t="s">
        <v>992</v>
      </c>
      <c r="I107" s="7" t="s">
        <v>993</v>
      </c>
      <c r="J107" s="7" t="s">
        <v>994</v>
      </c>
    </row>
    <row r="108" spans="1:10" ht="45.95" customHeight="1">
      <c r="A108" s="7">
        <v>105</v>
      </c>
      <c r="B108" s="7" t="s">
        <v>984</v>
      </c>
      <c r="C108" s="7" t="s">
        <v>54</v>
      </c>
      <c r="D108" s="7" t="s">
        <v>995</v>
      </c>
      <c r="E108" s="7" t="s">
        <v>996</v>
      </c>
      <c r="F108" s="7" t="s">
        <v>997</v>
      </c>
      <c r="G108" s="7" t="s">
        <v>998</v>
      </c>
      <c r="H108" s="7" t="s">
        <v>999</v>
      </c>
      <c r="I108" s="7" t="s">
        <v>1000</v>
      </c>
      <c r="J108" s="7" t="s">
        <v>1001</v>
      </c>
    </row>
    <row r="109" spans="1:10" ht="45.95" customHeight="1">
      <c r="A109" s="7">
        <v>106</v>
      </c>
      <c r="B109" s="7" t="s">
        <v>203</v>
      </c>
      <c r="C109" s="7" t="s">
        <v>54</v>
      </c>
      <c r="D109" s="7" t="s">
        <v>1002</v>
      </c>
      <c r="E109" s="7" t="s">
        <v>1003</v>
      </c>
      <c r="F109" s="7" t="s">
        <v>1004</v>
      </c>
      <c r="G109" s="7" t="s">
        <v>1005</v>
      </c>
      <c r="H109" s="7" t="s">
        <v>1006</v>
      </c>
      <c r="I109" s="7" t="s">
        <v>1007</v>
      </c>
      <c r="J109" s="7" t="s">
        <v>1008</v>
      </c>
    </row>
    <row r="110" spans="1:10" ht="45.95" customHeight="1">
      <c r="A110" s="7">
        <v>107</v>
      </c>
      <c r="B110" s="7" t="s">
        <v>203</v>
      </c>
      <c r="C110" s="7" t="s">
        <v>54</v>
      </c>
      <c r="D110" s="7" t="s">
        <v>1009</v>
      </c>
      <c r="E110" s="7" t="s">
        <v>1010</v>
      </c>
      <c r="F110" s="7" t="s">
        <v>1011</v>
      </c>
      <c r="G110" s="7" t="s">
        <v>1012</v>
      </c>
      <c r="H110" s="7" t="s">
        <v>1013</v>
      </c>
      <c r="I110" s="7" t="s">
        <v>1014</v>
      </c>
      <c r="J110" s="7" t="s">
        <v>1015</v>
      </c>
    </row>
    <row r="111" spans="1:10" ht="45.95" customHeight="1">
      <c r="A111" s="7">
        <v>108</v>
      </c>
      <c r="B111" s="7" t="s">
        <v>203</v>
      </c>
      <c r="C111" s="7" t="s">
        <v>54</v>
      </c>
      <c r="D111" s="7" t="s">
        <v>1016</v>
      </c>
      <c r="E111" s="7" t="s">
        <v>1017</v>
      </c>
      <c r="F111" s="7" t="s">
        <v>1018</v>
      </c>
      <c r="G111" s="7" t="s">
        <v>1019</v>
      </c>
      <c r="H111" s="7" t="s">
        <v>1020</v>
      </c>
      <c r="I111" s="7" t="s">
        <v>1021</v>
      </c>
      <c r="J111" s="7" t="s">
        <v>1022</v>
      </c>
    </row>
    <row r="112" spans="1:10" ht="45.95" customHeight="1">
      <c r="A112" s="7">
        <v>109</v>
      </c>
      <c r="B112" s="7" t="s">
        <v>203</v>
      </c>
      <c r="C112" s="7" t="s">
        <v>54</v>
      </c>
      <c r="D112" s="7" t="s">
        <v>1023</v>
      </c>
      <c r="E112" s="7" t="s">
        <v>1024</v>
      </c>
      <c r="F112" s="7" t="s">
        <v>1025</v>
      </c>
      <c r="G112" s="7" t="s">
        <v>1026</v>
      </c>
      <c r="H112" s="7" t="s">
        <v>1027</v>
      </c>
      <c r="I112" s="7" t="s">
        <v>1028</v>
      </c>
      <c r="J112" s="7" t="s">
        <v>1029</v>
      </c>
    </row>
    <row r="113" spans="1:10" ht="45.95" customHeight="1">
      <c r="A113" s="7">
        <v>110</v>
      </c>
      <c r="B113" s="7" t="s">
        <v>203</v>
      </c>
      <c r="C113" s="7" t="s">
        <v>54</v>
      </c>
      <c r="D113" s="7" t="s">
        <v>1030</v>
      </c>
      <c r="E113" s="7" t="s">
        <v>1031</v>
      </c>
      <c r="F113" s="7" t="s">
        <v>1032</v>
      </c>
      <c r="G113" s="7" t="s">
        <v>1033</v>
      </c>
      <c r="H113" s="7" t="s">
        <v>1034</v>
      </c>
      <c r="I113" s="7" t="s">
        <v>1035</v>
      </c>
      <c r="J113" s="7" t="s">
        <v>1036</v>
      </c>
    </row>
    <row r="114" spans="1:10" ht="45.95" customHeight="1">
      <c r="A114" s="7">
        <v>111</v>
      </c>
      <c r="B114" s="7" t="s">
        <v>203</v>
      </c>
      <c r="C114" s="7" t="s">
        <v>54</v>
      </c>
      <c r="D114" s="7" t="s">
        <v>1037</v>
      </c>
      <c r="E114" s="7" t="s">
        <v>1031</v>
      </c>
      <c r="F114" s="7" t="s">
        <v>1033</v>
      </c>
      <c r="G114" s="7" t="s">
        <v>1032</v>
      </c>
      <c r="H114" s="7" t="s">
        <v>1038</v>
      </c>
      <c r="I114" s="7" t="s">
        <v>1039</v>
      </c>
      <c r="J114" s="7" t="s">
        <v>1040</v>
      </c>
    </row>
    <row r="115" spans="1:10" ht="45.95" customHeight="1">
      <c r="A115" s="7">
        <v>112</v>
      </c>
      <c r="B115" s="7" t="s">
        <v>203</v>
      </c>
      <c r="C115" s="7" t="s">
        <v>54</v>
      </c>
      <c r="D115" s="7" t="s">
        <v>1041</v>
      </c>
      <c r="E115" s="7" t="s">
        <v>1042</v>
      </c>
      <c r="F115" s="7" t="s">
        <v>1043</v>
      </c>
      <c r="G115" s="7" t="s">
        <v>1044</v>
      </c>
      <c r="H115" s="7" t="s">
        <v>1045</v>
      </c>
      <c r="I115" s="7" t="s">
        <v>1046</v>
      </c>
      <c r="J115" s="7" t="s">
        <v>1047</v>
      </c>
    </row>
    <row r="116" spans="1:10" ht="45.95" customHeight="1">
      <c r="A116" s="7">
        <v>113</v>
      </c>
      <c r="B116" s="7" t="s">
        <v>203</v>
      </c>
      <c r="C116" s="7" t="s">
        <v>54</v>
      </c>
      <c r="D116" s="7" t="s">
        <v>1048</v>
      </c>
      <c r="E116" s="7" t="s">
        <v>1031</v>
      </c>
      <c r="F116" s="7" t="s">
        <v>1032</v>
      </c>
      <c r="G116" s="7" t="s">
        <v>1033</v>
      </c>
      <c r="H116" s="7" t="s">
        <v>1049</v>
      </c>
      <c r="I116" s="7" t="s">
        <v>1050</v>
      </c>
      <c r="J116" s="7" t="s">
        <v>1051</v>
      </c>
    </row>
    <row r="117" spans="1:10" ht="45.95" customHeight="1">
      <c r="A117" s="7">
        <v>114</v>
      </c>
      <c r="B117" s="7" t="s">
        <v>203</v>
      </c>
      <c r="C117" s="7" t="s">
        <v>54</v>
      </c>
      <c r="D117" s="7" t="s">
        <v>1052</v>
      </c>
      <c r="E117" s="7" t="s">
        <v>1053</v>
      </c>
      <c r="F117" s="7" t="s">
        <v>1054</v>
      </c>
      <c r="G117" s="7" t="s">
        <v>1055</v>
      </c>
      <c r="H117" s="7" t="s">
        <v>1056</v>
      </c>
      <c r="I117" s="7" t="s">
        <v>1057</v>
      </c>
      <c r="J117" s="7" t="s">
        <v>1058</v>
      </c>
    </row>
    <row r="118" spans="1:10" ht="45.95" customHeight="1">
      <c r="A118" s="7">
        <v>115</v>
      </c>
      <c r="B118" s="7" t="s">
        <v>203</v>
      </c>
      <c r="C118" s="7" t="s">
        <v>54</v>
      </c>
      <c r="D118" s="7" t="s">
        <v>1059</v>
      </c>
      <c r="E118" s="7" t="s">
        <v>1060</v>
      </c>
      <c r="F118" s="7" t="s">
        <v>1061</v>
      </c>
      <c r="G118" s="7" t="s">
        <v>1062</v>
      </c>
      <c r="H118" s="7" t="s">
        <v>1063</v>
      </c>
      <c r="I118" s="7" t="s">
        <v>1064</v>
      </c>
      <c r="J118" s="7" t="s">
        <v>1065</v>
      </c>
    </row>
    <row r="119" spans="1:10" ht="45.95" customHeight="1">
      <c r="A119" s="7">
        <v>116</v>
      </c>
      <c r="B119" s="7" t="s">
        <v>203</v>
      </c>
      <c r="C119" s="7" t="s">
        <v>54</v>
      </c>
      <c r="D119" s="7" t="s">
        <v>1066</v>
      </c>
      <c r="E119" s="7" t="s">
        <v>1067</v>
      </c>
      <c r="F119" s="7" t="s">
        <v>1068</v>
      </c>
      <c r="G119" s="7" t="s">
        <v>1069</v>
      </c>
      <c r="H119" s="7" t="s">
        <v>1070</v>
      </c>
      <c r="I119" s="7" t="s">
        <v>1071</v>
      </c>
      <c r="J119" s="7" t="s">
        <v>1072</v>
      </c>
    </row>
    <row r="120" spans="1:10" ht="15.75" customHeight="1"/>
    <row r="121" spans="1:10" ht="15.75" customHeight="1"/>
    <row r="122" spans="1:10" ht="15.75" customHeight="1"/>
    <row r="123" spans="1:10" ht="15.75" customHeight="1"/>
    <row r="124" spans="1:10" ht="15.75" customHeight="1"/>
    <row r="125" spans="1:10" ht="15.75" customHeight="1"/>
    <row r="126" spans="1:10" ht="15.75" customHeight="1"/>
    <row r="127" spans="1:10" ht="15.75" customHeight="1"/>
    <row r="128" spans="1:1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J119" xr:uid="{00000000-0001-0000-0200-000000000000}"/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/>
  <cols>
    <col min="1" max="1" width="25" customWidth="1"/>
    <col min="2" max="2" width="30" customWidth="1"/>
    <col min="3" max="3" width="65" customWidth="1"/>
    <col min="4" max="26" width="8.7109375" customWidth="1"/>
  </cols>
  <sheetData>
    <row r="1" spans="1:3" ht="24" customHeight="1">
      <c r="A1" s="161" t="s">
        <v>407</v>
      </c>
      <c r="B1" s="162"/>
      <c r="C1" s="163"/>
    </row>
    <row r="2" spans="1:3">
      <c r="A2" s="56"/>
      <c r="B2" s="44"/>
      <c r="C2" s="57"/>
    </row>
    <row r="3" spans="1:3" ht="15" customHeight="1">
      <c r="A3" s="109" t="s">
        <v>408</v>
      </c>
      <c r="B3" s="110" t="s">
        <v>409</v>
      </c>
      <c r="C3" s="111" t="s">
        <v>410</v>
      </c>
    </row>
    <row r="4" spans="1:3" ht="45" customHeight="1">
      <c r="A4" s="91" t="s">
        <v>379</v>
      </c>
      <c r="B4" s="1" t="s">
        <v>411</v>
      </c>
      <c r="C4" s="84" t="s">
        <v>412</v>
      </c>
    </row>
    <row r="5" spans="1:3" ht="45" customHeight="1">
      <c r="A5" s="92" t="s">
        <v>413</v>
      </c>
      <c r="B5" s="3" t="s">
        <v>414</v>
      </c>
      <c r="C5" s="86" t="s">
        <v>415</v>
      </c>
    </row>
    <row r="6" spans="1:3" ht="45" customHeight="1">
      <c r="A6" s="91" t="s">
        <v>416</v>
      </c>
      <c r="B6" s="1" t="s">
        <v>414</v>
      </c>
      <c r="C6" s="84" t="s">
        <v>417</v>
      </c>
    </row>
    <row r="7" spans="1:3" ht="45" customHeight="1">
      <c r="A7" s="92" t="s">
        <v>418</v>
      </c>
      <c r="B7" s="3" t="s">
        <v>419</v>
      </c>
      <c r="C7" s="86" t="s">
        <v>420</v>
      </c>
    </row>
    <row r="8" spans="1:3" ht="45" customHeight="1">
      <c r="A8" s="91" t="s">
        <v>93</v>
      </c>
      <c r="B8" s="1" t="s">
        <v>421</v>
      </c>
      <c r="C8" s="84" t="s">
        <v>422</v>
      </c>
    </row>
    <row r="9" spans="1:3" ht="45" customHeight="1">
      <c r="A9" s="92" t="s">
        <v>92</v>
      </c>
      <c r="B9" s="3" t="s">
        <v>423</v>
      </c>
      <c r="C9" s="86" t="s">
        <v>424</v>
      </c>
    </row>
    <row r="10" spans="1:3" ht="45" customHeight="1">
      <c r="A10" s="91" t="s">
        <v>94</v>
      </c>
      <c r="B10" s="1" t="s">
        <v>425</v>
      </c>
      <c r="C10" s="84" t="s">
        <v>426</v>
      </c>
    </row>
    <row r="11" spans="1:3" ht="45" customHeight="1">
      <c r="A11" s="92" t="s">
        <v>427</v>
      </c>
      <c r="B11" s="3" t="s">
        <v>428</v>
      </c>
      <c r="C11" s="86" t="s">
        <v>429</v>
      </c>
    </row>
    <row r="12" spans="1:3" ht="45" customHeight="1">
      <c r="A12" s="93" t="s">
        <v>430</v>
      </c>
      <c r="B12" s="88" t="s">
        <v>431</v>
      </c>
      <c r="C12" s="90" t="s">
        <v>432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/>
  <cols>
    <col min="1" max="1" width="16" customWidth="1"/>
    <col min="2" max="2" width="32" customWidth="1"/>
    <col min="3" max="3" width="22" customWidth="1"/>
    <col min="4" max="4" width="65" customWidth="1"/>
    <col min="5" max="26" width="8.7109375" customWidth="1"/>
  </cols>
  <sheetData>
    <row r="1" spans="1:4" ht="24" customHeight="1">
      <c r="A1" s="161" t="s">
        <v>433</v>
      </c>
      <c r="B1" s="162"/>
      <c r="C1" s="162"/>
      <c r="D1" s="163"/>
    </row>
    <row r="2" spans="1:4">
      <c r="A2" s="56"/>
      <c r="B2" s="44"/>
      <c r="C2" s="44"/>
      <c r="D2" s="57"/>
    </row>
    <row r="3" spans="1:4" ht="15" customHeight="1">
      <c r="A3" s="109" t="s">
        <v>434</v>
      </c>
      <c r="B3" s="110" t="s">
        <v>435</v>
      </c>
      <c r="C3" s="110" t="s">
        <v>436</v>
      </c>
      <c r="D3" s="111" t="s">
        <v>437</v>
      </c>
    </row>
    <row r="4" spans="1:4" ht="49.5" customHeight="1">
      <c r="A4" s="91" t="s">
        <v>86</v>
      </c>
      <c r="B4" s="1" t="s">
        <v>438</v>
      </c>
      <c r="C4" s="1" t="s">
        <v>439</v>
      </c>
      <c r="D4" s="84" t="s">
        <v>440</v>
      </c>
    </row>
    <row r="5" spans="1:4" ht="49.5" customHeight="1">
      <c r="A5" s="92" t="s">
        <v>85</v>
      </c>
      <c r="B5" s="3" t="s">
        <v>441</v>
      </c>
      <c r="C5" s="3" t="s">
        <v>442</v>
      </c>
      <c r="D5" s="86" t="s">
        <v>443</v>
      </c>
    </row>
    <row r="6" spans="1:4" ht="49.5" customHeight="1">
      <c r="A6" s="91" t="s">
        <v>87</v>
      </c>
      <c r="B6" s="1" t="s">
        <v>444</v>
      </c>
      <c r="C6" s="1" t="s">
        <v>445</v>
      </c>
      <c r="D6" s="84" t="s">
        <v>446</v>
      </c>
    </row>
    <row r="7" spans="1:4" ht="49.5" customHeight="1">
      <c r="A7" s="92" t="s">
        <v>447</v>
      </c>
      <c r="B7" s="3" t="s">
        <v>448</v>
      </c>
      <c r="C7" s="3" t="s">
        <v>449</v>
      </c>
      <c r="D7" s="86" t="s">
        <v>450</v>
      </c>
    </row>
    <row r="8" spans="1:4" ht="49.5" customHeight="1">
      <c r="A8" s="91" t="s">
        <v>88</v>
      </c>
      <c r="B8" s="1" t="s">
        <v>451</v>
      </c>
      <c r="C8" s="1" t="s">
        <v>452</v>
      </c>
      <c r="D8" s="84" t="s">
        <v>453</v>
      </c>
    </row>
    <row r="9" spans="1:4" ht="49.5" customHeight="1">
      <c r="A9" s="92" t="s">
        <v>104</v>
      </c>
      <c r="B9" s="3" t="s">
        <v>454</v>
      </c>
      <c r="C9" s="3" t="s">
        <v>455</v>
      </c>
      <c r="D9" s="86" t="s">
        <v>456</v>
      </c>
    </row>
    <row r="10" spans="1:4" ht="49.5" customHeight="1">
      <c r="A10" s="91" t="s">
        <v>103</v>
      </c>
      <c r="B10" s="1" t="s">
        <v>457</v>
      </c>
      <c r="C10" s="1" t="s">
        <v>458</v>
      </c>
      <c r="D10" s="84" t="s">
        <v>459</v>
      </c>
    </row>
    <row r="11" spans="1:4" ht="49.5" customHeight="1">
      <c r="A11" s="92" t="s">
        <v>105</v>
      </c>
      <c r="B11" s="3" t="s">
        <v>460</v>
      </c>
      <c r="C11" s="3" t="s">
        <v>461</v>
      </c>
      <c r="D11" s="86" t="s">
        <v>462</v>
      </c>
    </row>
    <row r="12" spans="1:4" ht="49.5" customHeight="1">
      <c r="A12" s="93" t="s">
        <v>109</v>
      </c>
      <c r="B12" s="88" t="s">
        <v>463</v>
      </c>
      <c r="C12" s="88" t="s">
        <v>464</v>
      </c>
      <c r="D12" s="90" t="s">
        <v>465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/>
  <cols>
    <col min="1" max="1" width="18" customWidth="1"/>
    <col min="2" max="2" width="26" customWidth="1"/>
    <col min="3" max="3" width="45" customWidth="1"/>
    <col min="4" max="4" width="42" customWidth="1"/>
    <col min="5" max="5" width="30" customWidth="1"/>
    <col min="6" max="6" width="12" customWidth="1"/>
    <col min="7" max="7" width="28" customWidth="1"/>
    <col min="8" max="8" width="12" customWidth="1"/>
    <col min="9" max="26" width="8.7109375" customWidth="1"/>
  </cols>
  <sheetData>
    <row r="1" spans="1:8" ht="27.95" customHeight="1">
      <c r="A1" s="161" t="s">
        <v>1073</v>
      </c>
      <c r="B1" s="162"/>
      <c r="C1" s="107"/>
      <c r="D1" s="107"/>
      <c r="E1" s="107"/>
      <c r="F1" s="107"/>
      <c r="G1" s="107"/>
      <c r="H1" s="108"/>
    </row>
    <row r="2" spans="1:8" ht="36" customHeight="1">
      <c r="A2" s="164" t="s">
        <v>1074</v>
      </c>
      <c r="B2" s="165"/>
      <c r="C2" s="165"/>
      <c r="D2" s="165"/>
      <c r="E2" s="165"/>
      <c r="F2" s="165"/>
      <c r="G2" s="165"/>
      <c r="H2" s="166"/>
    </row>
    <row r="3" spans="1:8" ht="32.1" customHeight="1">
      <c r="A3" s="109" t="s">
        <v>688</v>
      </c>
      <c r="B3" s="110" t="s">
        <v>1075</v>
      </c>
      <c r="C3" s="112" t="s">
        <v>1076</v>
      </c>
      <c r="D3" s="112" t="s">
        <v>1077</v>
      </c>
      <c r="E3" s="112" t="s">
        <v>1078</v>
      </c>
      <c r="F3" s="112" t="s">
        <v>695</v>
      </c>
      <c r="G3" s="112" t="s">
        <v>693</v>
      </c>
      <c r="H3" s="113" t="s">
        <v>1079</v>
      </c>
    </row>
    <row r="4" spans="1:8" ht="60" customHeight="1">
      <c r="A4" s="91" t="s">
        <v>1080</v>
      </c>
      <c r="B4" s="1" t="s">
        <v>1081</v>
      </c>
      <c r="C4" s="46" t="s">
        <v>1082</v>
      </c>
      <c r="D4" s="46" t="s">
        <v>1083</v>
      </c>
      <c r="E4" s="46" t="s">
        <v>1084</v>
      </c>
      <c r="F4" s="46" t="s">
        <v>703</v>
      </c>
      <c r="G4" s="46" t="s">
        <v>1085</v>
      </c>
      <c r="H4" s="94" t="s">
        <v>703</v>
      </c>
    </row>
    <row r="5" spans="1:8" ht="60" customHeight="1">
      <c r="A5" s="92" t="s">
        <v>1080</v>
      </c>
      <c r="B5" s="3" t="s">
        <v>1086</v>
      </c>
      <c r="C5" s="46" t="s">
        <v>1087</v>
      </c>
      <c r="D5" s="46" t="s">
        <v>1088</v>
      </c>
      <c r="E5" s="46" t="s">
        <v>1089</v>
      </c>
      <c r="F5" s="46" t="s">
        <v>703</v>
      </c>
      <c r="G5" s="46" t="s">
        <v>1085</v>
      </c>
      <c r="H5" s="94" t="s">
        <v>703</v>
      </c>
    </row>
    <row r="6" spans="1:8" ht="60" customHeight="1">
      <c r="A6" s="91" t="s">
        <v>1080</v>
      </c>
      <c r="B6" s="1" t="s">
        <v>742</v>
      </c>
      <c r="C6" s="46" t="s">
        <v>1090</v>
      </c>
      <c r="D6" s="46" t="s">
        <v>1091</v>
      </c>
      <c r="E6" s="46" t="s">
        <v>1092</v>
      </c>
      <c r="F6" s="46" t="s">
        <v>703</v>
      </c>
      <c r="G6" s="46" t="s">
        <v>1085</v>
      </c>
      <c r="H6" s="94" t="s">
        <v>703</v>
      </c>
    </row>
    <row r="7" spans="1:8" ht="60" customHeight="1">
      <c r="A7" s="92" t="s">
        <v>1080</v>
      </c>
      <c r="B7" s="3" t="s">
        <v>715</v>
      </c>
      <c r="C7" s="46" t="s">
        <v>1093</v>
      </c>
      <c r="D7" s="46" t="s">
        <v>1094</v>
      </c>
      <c r="E7" s="46" t="s">
        <v>1095</v>
      </c>
      <c r="F7" s="46" t="s">
        <v>703</v>
      </c>
      <c r="G7" s="46" t="s">
        <v>701</v>
      </c>
      <c r="H7" s="94" t="s">
        <v>703</v>
      </c>
    </row>
    <row r="8" spans="1:8" ht="60" customHeight="1">
      <c r="A8" s="91" t="s">
        <v>1080</v>
      </c>
      <c r="B8" s="1" t="s">
        <v>718</v>
      </c>
      <c r="C8" s="46" t="s">
        <v>1096</v>
      </c>
      <c r="D8" s="46" t="s">
        <v>1097</v>
      </c>
      <c r="E8" s="46" t="s">
        <v>1098</v>
      </c>
      <c r="F8" s="46" t="s">
        <v>703</v>
      </c>
      <c r="G8" s="46" t="s">
        <v>721</v>
      </c>
      <c r="H8" s="94" t="s">
        <v>703</v>
      </c>
    </row>
    <row r="9" spans="1:8" ht="60" customHeight="1">
      <c r="A9" s="92" t="s">
        <v>1080</v>
      </c>
      <c r="B9" s="3" t="s">
        <v>1099</v>
      </c>
      <c r="C9" s="46" t="s">
        <v>1100</v>
      </c>
      <c r="D9" s="46" t="s">
        <v>1101</v>
      </c>
      <c r="E9" s="46" t="s">
        <v>1102</v>
      </c>
      <c r="F9" s="46" t="s">
        <v>703</v>
      </c>
      <c r="G9" s="46" t="s">
        <v>707</v>
      </c>
      <c r="H9" s="94" t="s">
        <v>703</v>
      </c>
    </row>
    <row r="10" spans="1:8" ht="60" customHeight="1">
      <c r="A10" s="91" t="s">
        <v>1080</v>
      </c>
      <c r="B10" s="1" t="s">
        <v>750</v>
      </c>
      <c r="C10" s="46" t="s">
        <v>1103</v>
      </c>
      <c r="D10" s="46" t="s">
        <v>1104</v>
      </c>
      <c r="E10" s="46" t="s">
        <v>1105</v>
      </c>
      <c r="F10" s="46" t="s">
        <v>703</v>
      </c>
      <c r="G10" s="46" t="s">
        <v>1085</v>
      </c>
      <c r="H10" s="94" t="s">
        <v>703</v>
      </c>
    </row>
    <row r="11" spans="1:8" ht="60" customHeight="1">
      <c r="A11" s="92" t="s">
        <v>1080</v>
      </c>
      <c r="B11" s="3" t="s">
        <v>754</v>
      </c>
      <c r="C11" s="46" t="s">
        <v>1106</v>
      </c>
      <c r="D11" s="46" t="s">
        <v>1107</v>
      </c>
      <c r="E11" s="46" t="s">
        <v>1108</v>
      </c>
      <c r="F11" s="46" t="s">
        <v>703</v>
      </c>
      <c r="G11" s="46" t="s">
        <v>1085</v>
      </c>
      <c r="H11" s="94" t="s">
        <v>703</v>
      </c>
    </row>
    <row r="12" spans="1:8" ht="60" customHeight="1">
      <c r="A12" s="91" t="s">
        <v>1080</v>
      </c>
      <c r="B12" s="1" t="s">
        <v>758</v>
      </c>
      <c r="C12" s="46" t="s">
        <v>1109</v>
      </c>
      <c r="D12" s="46" t="s">
        <v>1110</v>
      </c>
      <c r="E12" s="46" t="s">
        <v>1111</v>
      </c>
      <c r="F12" s="46" t="s">
        <v>1112</v>
      </c>
      <c r="G12" s="46" t="s">
        <v>1085</v>
      </c>
      <c r="H12" s="94" t="s">
        <v>1112</v>
      </c>
    </row>
    <row r="13" spans="1:8" ht="60" customHeight="1">
      <c r="A13" s="92" t="s">
        <v>1080</v>
      </c>
      <c r="B13" s="3" t="s">
        <v>850</v>
      </c>
      <c r="C13" s="46" t="s">
        <v>1113</v>
      </c>
      <c r="D13" s="46" t="s">
        <v>1114</v>
      </c>
      <c r="E13" s="46" t="s">
        <v>1115</v>
      </c>
      <c r="F13" s="46" t="s">
        <v>703</v>
      </c>
      <c r="G13" s="46" t="s">
        <v>707</v>
      </c>
      <c r="H13" s="94" t="s">
        <v>1112</v>
      </c>
    </row>
    <row r="14" spans="1:8" ht="60" customHeight="1">
      <c r="A14" s="95" t="s">
        <v>1080</v>
      </c>
      <c r="B14" s="46" t="s">
        <v>1116</v>
      </c>
      <c r="C14" s="46" t="s">
        <v>1117</v>
      </c>
      <c r="D14" s="46" t="s">
        <v>1118</v>
      </c>
      <c r="E14" s="46" t="s">
        <v>1119</v>
      </c>
      <c r="F14" s="46" t="s">
        <v>703</v>
      </c>
      <c r="G14" s="46" t="s">
        <v>1085</v>
      </c>
      <c r="H14" s="94" t="s">
        <v>703</v>
      </c>
    </row>
    <row r="15" spans="1:8" ht="60" customHeight="1">
      <c r="A15" s="95" t="s">
        <v>1080</v>
      </c>
      <c r="B15" s="46" t="s">
        <v>1120</v>
      </c>
      <c r="C15" s="46" t="s">
        <v>1121</v>
      </c>
      <c r="D15" s="46" t="s">
        <v>1122</v>
      </c>
      <c r="E15" s="46" t="s">
        <v>1123</v>
      </c>
      <c r="F15" s="46" t="s">
        <v>1112</v>
      </c>
      <c r="G15" s="46" t="s">
        <v>1085</v>
      </c>
      <c r="H15" s="94" t="s">
        <v>1112</v>
      </c>
    </row>
    <row r="16" spans="1:8" ht="60" customHeight="1">
      <c r="A16" s="95" t="s">
        <v>1080</v>
      </c>
      <c r="B16" s="46" t="s">
        <v>1124</v>
      </c>
      <c r="C16" s="46" t="s">
        <v>1125</v>
      </c>
      <c r="D16" s="46" t="s">
        <v>1126</v>
      </c>
      <c r="E16" s="46" t="s">
        <v>1127</v>
      </c>
      <c r="F16" s="46" t="s">
        <v>1112</v>
      </c>
      <c r="G16" s="46" t="s">
        <v>1085</v>
      </c>
      <c r="H16" s="94" t="s">
        <v>1112</v>
      </c>
    </row>
    <row r="17" spans="1:8" ht="60" customHeight="1">
      <c r="A17" s="95" t="s">
        <v>1080</v>
      </c>
      <c r="B17" s="46" t="s">
        <v>1128</v>
      </c>
      <c r="C17" s="46" t="s">
        <v>1129</v>
      </c>
      <c r="D17" s="46" t="s">
        <v>1130</v>
      </c>
      <c r="E17" s="46" t="s">
        <v>1131</v>
      </c>
      <c r="F17" s="46" t="s">
        <v>1112</v>
      </c>
      <c r="G17" s="46" t="s">
        <v>1085</v>
      </c>
      <c r="H17" s="94" t="s">
        <v>1112</v>
      </c>
    </row>
    <row r="18" spans="1:8" ht="60" customHeight="1">
      <c r="A18" s="95" t="s">
        <v>1080</v>
      </c>
      <c r="B18" s="46" t="s">
        <v>766</v>
      </c>
      <c r="C18" s="46" t="s">
        <v>1132</v>
      </c>
      <c r="D18" s="46" t="s">
        <v>1133</v>
      </c>
      <c r="E18" s="46" t="s">
        <v>1134</v>
      </c>
      <c r="F18" s="46" t="s">
        <v>703</v>
      </c>
      <c r="G18" s="46" t="s">
        <v>707</v>
      </c>
      <c r="H18" s="94" t="s">
        <v>703</v>
      </c>
    </row>
    <row r="19" spans="1:8" ht="60" customHeight="1">
      <c r="A19" s="95" t="s">
        <v>1080</v>
      </c>
      <c r="B19" s="46" t="s">
        <v>1135</v>
      </c>
      <c r="C19" s="46" t="s">
        <v>1136</v>
      </c>
      <c r="D19" s="46" t="s">
        <v>1137</v>
      </c>
      <c r="E19" s="46" t="s">
        <v>1138</v>
      </c>
      <c r="F19" s="46" t="s">
        <v>703</v>
      </c>
      <c r="G19" s="46" t="s">
        <v>707</v>
      </c>
      <c r="H19" s="94" t="s">
        <v>703</v>
      </c>
    </row>
    <row r="20" spans="1:8" ht="60" customHeight="1">
      <c r="A20" s="95" t="s">
        <v>1080</v>
      </c>
      <c r="B20" s="46" t="s">
        <v>1139</v>
      </c>
      <c r="C20" s="46" t="s">
        <v>1140</v>
      </c>
      <c r="D20" s="46" t="s">
        <v>1141</v>
      </c>
      <c r="E20" s="46" t="s">
        <v>1142</v>
      </c>
      <c r="F20" s="46" t="s">
        <v>703</v>
      </c>
      <c r="G20" s="46" t="s">
        <v>707</v>
      </c>
      <c r="H20" s="94" t="s">
        <v>703</v>
      </c>
    </row>
    <row r="21" spans="1:8" ht="60" customHeight="1">
      <c r="A21" s="95" t="s">
        <v>1080</v>
      </c>
      <c r="B21" s="46" t="s">
        <v>920</v>
      </c>
      <c r="C21" s="46" t="s">
        <v>1143</v>
      </c>
      <c r="D21" s="46" t="s">
        <v>1144</v>
      </c>
      <c r="E21" s="46" t="s">
        <v>1145</v>
      </c>
      <c r="F21" s="46" t="s">
        <v>703</v>
      </c>
      <c r="G21" s="46" t="s">
        <v>707</v>
      </c>
      <c r="H21" s="94" t="s">
        <v>703</v>
      </c>
    </row>
    <row r="22" spans="1:8" ht="60" customHeight="1">
      <c r="A22" s="95" t="s">
        <v>1080</v>
      </c>
      <c r="B22" s="46" t="s">
        <v>922</v>
      </c>
      <c r="C22" s="46" t="s">
        <v>1146</v>
      </c>
      <c r="D22" s="46" t="s">
        <v>1147</v>
      </c>
      <c r="E22" s="46" t="s">
        <v>1148</v>
      </c>
      <c r="F22" s="46" t="s">
        <v>703</v>
      </c>
      <c r="G22" s="46" t="s">
        <v>707</v>
      </c>
      <c r="H22" s="94" t="s">
        <v>1112</v>
      </c>
    </row>
    <row r="23" spans="1:8" ht="60" customHeight="1">
      <c r="A23" s="95" t="s">
        <v>1080</v>
      </c>
      <c r="B23" s="46" t="s">
        <v>921</v>
      </c>
      <c r="C23" s="46" t="s">
        <v>1149</v>
      </c>
      <c r="D23" s="46" t="s">
        <v>1150</v>
      </c>
      <c r="E23" s="46" t="s">
        <v>1151</v>
      </c>
      <c r="F23" s="46" t="s">
        <v>703</v>
      </c>
      <c r="G23" s="46" t="s">
        <v>707</v>
      </c>
      <c r="H23" s="94" t="s">
        <v>703</v>
      </c>
    </row>
    <row r="24" spans="1:8" ht="60" customHeight="1">
      <c r="A24" s="95" t="s">
        <v>1080</v>
      </c>
      <c r="B24" s="46" t="s">
        <v>1152</v>
      </c>
      <c r="C24" s="46" t="s">
        <v>1153</v>
      </c>
      <c r="D24" s="46" t="s">
        <v>1154</v>
      </c>
      <c r="E24" s="46" t="s">
        <v>1155</v>
      </c>
      <c r="F24" s="46" t="s">
        <v>703</v>
      </c>
      <c r="G24" s="46" t="s">
        <v>707</v>
      </c>
      <c r="H24" s="94" t="s">
        <v>1112</v>
      </c>
    </row>
    <row r="25" spans="1:8" ht="60" customHeight="1">
      <c r="A25" s="95" t="s">
        <v>1080</v>
      </c>
      <c r="B25" s="46" t="s">
        <v>1156</v>
      </c>
      <c r="C25" s="46" t="s">
        <v>1157</v>
      </c>
      <c r="D25" s="46" t="s">
        <v>1158</v>
      </c>
      <c r="E25" s="46" t="s">
        <v>1159</v>
      </c>
      <c r="F25" s="46" t="s">
        <v>703</v>
      </c>
      <c r="G25" s="46" t="s">
        <v>707</v>
      </c>
      <c r="H25" s="94" t="s">
        <v>1112</v>
      </c>
    </row>
    <row r="26" spans="1:8" ht="60" customHeight="1">
      <c r="A26" s="95" t="s">
        <v>1080</v>
      </c>
      <c r="B26" s="46" t="s">
        <v>1160</v>
      </c>
      <c r="C26" s="46" t="s">
        <v>1161</v>
      </c>
      <c r="D26" s="46" t="s">
        <v>1162</v>
      </c>
      <c r="E26" s="46" t="s">
        <v>1163</v>
      </c>
      <c r="F26" s="46" t="s">
        <v>1112</v>
      </c>
      <c r="G26" s="46" t="s">
        <v>707</v>
      </c>
      <c r="H26" s="94" t="s">
        <v>1112</v>
      </c>
    </row>
    <row r="27" spans="1:8" ht="60" customHeight="1">
      <c r="A27" s="95" t="s">
        <v>1080</v>
      </c>
      <c r="B27" s="46" t="s">
        <v>1164</v>
      </c>
      <c r="C27" s="46" t="s">
        <v>1165</v>
      </c>
      <c r="D27" s="46" t="s">
        <v>1166</v>
      </c>
      <c r="E27" s="46" t="s">
        <v>1167</v>
      </c>
      <c r="F27" s="46" t="s">
        <v>703</v>
      </c>
      <c r="G27" s="46" t="s">
        <v>1168</v>
      </c>
      <c r="H27" s="94" t="s">
        <v>703</v>
      </c>
    </row>
    <row r="28" spans="1:8" ht="60" customHeight="1">
      <c r="A28" s="95" t="s">
        <v>1080</v>
      </c>
      <c r="B28" s="46" t="s">
        <v>1169</v>
      </c>
      <c r="C28" s="46" t="s">
        <v>1170</v>
      </c>
      <c r="D28" s="46" t="s">
        <v>1171</v>
      </c>
      <c r="E28" s="46" t="s">
        <v>1172</v>
      </c>
      <c r="F28" s="46" t="s">
        <v>703</v>
      </c>
      <c r="G28" s="46" t="s">
        <v>1085</v>
      </c>
      <c r="H28" s="94" t="s">
        <v>1112</v>
      </c>
    </row>
    <row r="29" spans="1:8" ht="60" customHeight="1">
      <c r="A29" s="95" t="s">
        <v>1080</v>
      </c>
      <c r="B29" s="46" t="s">
        <v>1173</v>
      </c>
      <c r="C29" s="46" t="s">
        <v>1174</v>
      </c>
      <c r="D29" s="46" t="s">
        <v>1175</v>
      </c>
      <c r="E29" s="46" t="s">
        <v>1176</v>
      </c>
      <c r="F29" s="46" t="s">
        <v>1112</v>
      </c>
      <c r="G29" s="46" t="s">
        <v>1085</v>
      </c>
      <c r="H29" s="94" t="s">
        <v>1112</v>
      </c>
    </row>
    <row r="30" spans="1:8" ht="60" customHeight="1">
      <c r="A30" s="95" t="s">
        <v>1080</v>
      </c>
      <c r="B30" s="46" t="s">
        <v>763</v>
      </c>
      <c r="C30" s="46" t="s">
        <v>1177</v>
      </c>
      <c r="D30" s="46" t="s">
        <v>1178</v>
      </c>
      <c r="E30" s="46" t="s">
        <v>1179</v>
      </c>
      <c r="F30" s="46" t="s">
        <v>703</v>
      </c>
      <c r="G30" s="46" t="s">
        <v>1180</v>
      </c>
      <c r="H30" s="94" t="s">
        <v>703</v>
      </c>
    </row>
    <row r="31" spans="1:8" ht="60" customHeight="1">
      <c r="A31" s="95" t="s">
        <v>1080</v>
      </c>
      <c r="B31" s="46" t="s">
        <v>1181</v>
      </c>
      <c r="C31" s="46" t="s">
        <v>1182</v>
      </c>
      <c r="D31" s="46" t="s">
        <v>1183</v>
      </c>
      <c r="E31" s="46" t="s">
        <v>1184</v>
      </c>
      <c r="F31" s="46" t="s">
        <v>703</v>
      </c>
      <c r="G31" s="46" t="s">
        <v>1180</v>
      </c>
      <c r="H31" s="94" t="s">
        <v>703</v>
      </c>
    </row>
    <row r="32" spans="1:8" ht="60" customHeight="1">
      <c r="A32" s="95" t="s">
        <v>1080</v>
      </c>
      <c r="B32" s="46" t="s">
        <v>1185</v>
      </c>
      <c r="C32" s="46" t="s">
        <v>1186</v>
      </c>
      <c r="D32" s="46" t="s">
        <v>1187</v>
      </c>
      <c r="E32" s="46" t="s">
        <v>1188</v>
      </c>
      <c r="F32" s="46" t="s">
        <v>1112</v>
      </c>
      <c r="G32" s="46" t="s">
        <v>1180</v>
      </c>
      <c r="H32" s="94" t="s">
        <v>1112</v>
      </c>
    </row>
    <row r="33" spans="1:8" ht="60" customHeight="1">
      <c r="A33" s="95" t="s">
        <v>1189</v>
      </c>
      <c r="B33" s="46" t="s">
        <v>697</v>
      </c>
      <c r="C33" s="46" t="s">
        <v>698</v>
      </c>
      <c r="D33" s="46" t="s">
        <v>1190</v>
      </c>
      <c r="E33" s="46" t="s">
        <v>1191</v>
      </c>
      <c r="F33" s="46" t="s">
        <v>703</v>
      </c>
      <c r="G33" s="46" t="s">
        <v>701</v>
      </c>
      <c r="H33" s="94" t="s">
        <v>703</v>
      </c>
    </row>
    <row r="34" spans="1:8" ht="60" customHeight="1">
      <c r="A34" s="95" t="s">
        <v>1189</v>
      </c>
      <c r="B34" s="46" t="s">
        <v>704</v>
      </c>
      <c r="C34" s="46" t="s">
        <v>1192</v>
      </c>
      <c r="D34" s="46" t="s">
        <v>1193</v>
      </c>
      <c r="E34" s="46" t="s">
        <v>1194</v>
      </c>
      <c r="F34" s="46" t="s">
        <v>703</v>
      </c>
      <c r="G34" s="46" t="s">
        <v>707</v>
      </c>
      <c r="H34" s="94" t="s">
        <v>703</v>
      </c>
    </row>
    <row r="35" spans="1:8" ht="60" customHeight="1">
      <c r="A35" s="95" t="s">
        <v>1189</v>
      </c>
      <c r="B35" s="46" t="s">
        <v>708</v>
      </c>
      <c r="C35" s="46" t="s">
        <v>709</v>
      </c>
      <c r="D35" s="46" t="s">
        <v>1195</v>
      </c>
      <c r="E35" s="46" t="s">
        <v>1196</v>
      </c>
      <c r="F35" s="46" t="s">
        <v>703</v>
      </c>
      <c r="G35" s="46" t="s">
        <v>707</v>
      </c>
      <c r="H35" s="94" t="s">
        <v>703</v>
      </c>
    </row>
    <row r="36" spans="1:8" ht="60" customHeight="1">
      <c r="A36" s="95" t="s">
        <v>1189</v>
      </c>
      <c r="B36" s="46" t="s">
        <v>712</v>
      </c>
      <c r="C36" s="46" t="s">
        <v>1197</v>
      </c>
      <c r="D36" s="46" t="s">
        <v>1198</v>
      </c>
      <c r="E36" s="46" t="s">
        <v>1199</v>
      </c>
      <c r="F36" s="46" t="s">
        <v>703</v>
      </c>
      <c r="G36" s="46" t="s">
        <v>707</v>
      </c>
      <c r="H36" s="94" t="s">
        <v>703</v>
      </c>
    </row>
    <row r="37" spans="1:8" ht="60" customHeight="1">
      <c r="A37" s="95" t="s">
        <v>1189</v>
      </c>
      <c r="B37" s="46" t="s">
        <v>1200</v>
      </c>
      <c r="C37" s="46" t="s">
        <v>1201</v>
      </c>
      <c r="D37" s="46" t="s">
        <v>1202</v>
      </c>
      <c r="E37" s="46" t="s">
        <v>1203</v>
      </c>
      <c r="F37" s="46" t="s">
        <v>703</v>
      </c>
      <c r="G37" s="46" t="s">
        <v>701</v>
      </c>
      <c r="H37" s="94" t="s">
        <v>703</v>
      </c>
    </row>
    <row r="38" spans="1:8" ht="60" customHeight="1">
      <c r="A38" s="95" t="s">
        <v>1189</v>
      </c>
      <c r="B38" s="46" t="s">
        <v>1204</v>
      </c>
      <c r="C38" s="46" t="s">
        <v>1205</v>
      </c>
      <c r="D38" s="46" t="s">
        <v>1206</v>
      </c>
      <c r="E38" s="46" t="s">
        <v>1207</v>
      </c>
      <c r="F38" s="46" t="s">
        <v>703</v>
      </c>
      <c r="G38" s="46" t="s">
        <v>701</v>
      </c>
      <c r="H38" s="94" t="s">
        <v>703</v>
      </c>
    </row>
    <row r="39" spans="1:8" ht="60" customHeight="1">
      <c r="A39" s="95" t="s">
        <v>1189</v>
      </c>
      <c r="B39" s="46" t="s">
        <v>729</v>
      </c>
      <c r="C39" s="46" t="s">
        <v>1208</v>
      </c>
      <c r="D39" s="46" t="s">
        <v>1209</v>
      </c>
      <c r="E39" s="46" t="s">
        <v>1210</v>
      </c>
      <c r="F39" s="46" t="s">
        <v>1112</v>
      </c>
      <c r="G39" s="46" t="s">
        <v>701</v>
      </c>
      <c r="H39" s="94" t="s">
        <v>703</v>
      </c>
    </row>
    <row r="40" spans="1:8" ht="60" customHeight="1">
      <c r="A40" s="95" t="s">
        <v>1189</v>
      </c>
      <c r="B40" s="46" t="s">
        <v>732</v>
      </c>
      <c r="C40" s="46" t="s">
        <v>1211</v>
      </c>
      <c r="D40" s="46" t="s">
        <v>1212</v>
      </c>
      <c r="E40" s="46" t="s">
        <v>1213</v>
      </c>
      <c r="F40" s="46" t="s">
        <v>1112</v>
      </c>
      <c r="G40" s="46" t="s">
        <v>701</v>
      </c>
      <c r="H40" s="94" t="s">
        <v>703</v>
      </c>
    </row>
    <row r="41" spans="1:8" ht="60" customHeight="1">
      <c r="A41" s="95" t="s">
        <v>1189</v>
      </c>
      <c r="B41" s="46" t="s">
        <v>722</v>
      </c>
      <c r="C41" s="46" t="s">
        <v>1214</v>
      </c>
      <c r="D41" s="46" t="s">
        <v>1215</v>
      </c>
      <c r="E41" s="46" t="s">
        <v>1216</v>
      </c>
      <c r="F41" s="46" t="s">
        <v>703</v>
      </c>
      <c r="G41" s="46" t="s">
        <v>707</v>
      </c>
      <c r="H41" s="94" t="s">
        <v>703</v>
      </c>
    </row>
    <row r="42" spans="1:8" ht="60" customHeight="1">
      <c r="A42" s="95" t="s">
        <v>1189</v>
      </c>
      <c r="B42" s="46" t="s">
        <v>1217</v>
      </c>
      <c r="C42" s="46" t="s">
        <v>1218</v>
      </c>
      <c r="D42" s="46" t="s">
        <v>1219</v>
      </c>
      <c r="E42" s="46" t="s">
        <v>1220</v>
      </c>
      <c r="F42" s="46" t="s">
        <v>703</v>
      </c>
      <c r="G42" s="46" t="s">
        <v>707</v>
      </c>
      <c r="H42" s="94" t="s">
        <v>703</v>
      </c>
    </row>
    <row r="43" spans="1:8" ht="60" customHeight="1">
      <c r="A43" s="95" t="s">
        <v>1189</v>
      </c>
      <c r="B43" s="46" t="s">
        <v>1221</v>
      </c>
      <c r="C43" s="46" t="s">
        <v>1222</v>
      </c>
      <c r="D43" s="46" t="s">
        <v>1223</v>
      </c>
      <c r="E43" s="46" t="s">
        <v>1224</v>
      </c>
      <c r="F43" s="46" t="s">
        <v>1112</v>
      </c>
      <c r="G43" s="46" t="s">
        <v>701</v>
      </c>
      <c r="H43" s="94" t="s">
        <v>1112</v>
      </c>
    </row>
    <row r="44" spans="1:8" ht="60" customHeight="1">
      <c r="A44" s="95" t="s">
        <v>1189</v>
      </c>
      <c r="B44" s="46" t="s">
        <v>1225</v>
      </c>
      <c r="C44" s="46" t="s">
        <v>1226</v>
      </c>
      <c r="D44" s="46" t="s">
        <v>1227</v>
      </c>
      <c r="E44" s="46" t="s">
        <v>1228</v>
      </c>
      <c r="F44" s="46" t="s">
        <v>703</v>
      </c>
      <c r="G44" s="46" t="s">
        <v>721</v>
      </c>
      <c r="H44" s="94" t="s">
        <v>703</v>
      </c>
    </row>
    <row r="45" spans="1:8" ht="60" customHeight="1">
      <c r="A45" s="95" t="s">
        <v>1189</v>
      </c>
      <c r="B45" s="46" t="s">
        <v>1229</v>
      </c>
      <c r="C45" s="46" t="s">
        <v>1230</v>
      </c>
      <c r="D45" s="46" t="s">
        <v>1231</v>
      </c>
      <c r="E45" s="46" t="s">
        <v>1232</v>
      </c>
      <c r="F45" s="46" t="s">
        <v>1112</v>
      </c>
      <c r="G45" s="46" t="s">
        <v>701</v>
      </c>
      <c r="H45" s="94" t="s">
        <v>1112</v>
      </c>
    </row>
    <row r="46" spans="1:8" ht="60" customHeight="1">
      <c r="A46" s="95" t="s">
        <v>1233</v>
      </c>
      <c r="B46" s="46" t="s">
        <v>1234</v>
      </c>
      <c r="C46" s="46" t="s">
        <v>1235</v>
      </c>
      <c r="D46" s="46" t="s">
        <v>1236</v>
      </c>
      <c r="E46" s="46" t="s">
        <v>1237</v>
      </c>
      <c r="F46" s="46" t="s">
        <v>703</v>
      </c>
      <c r="G46" s="46" t="s">
        <v>721</v>
      </c>
      <c r="H46" s="94" t="s">
        <v>703</v>
      </c>
    </row>
    <row r="47" spans="1:8" ht="60" customHeight="1">
      <c r="A47" s="95" t="s">
        <v>1233</v>
      </c>
      <c r="B47" s="46" t="s">
        <v>1238</v>
      </c>
      <c r="C47" s="46" t="s">
        <v>1239</v>
      </c>
      <c r="D47" s="46" t="s">
        <v>1240</v>
      </c>
      <c r="E47" s="46" t="s">
        <v>1241</v>
      </c>
      <c r="F47" s="46" t="s">
        <v>1112</v>
      </c>
      <c r="G47" s="46" t="s">
        <v>721</v>
      </c>
      <c r="H47" s="94" t="s">
        <v>703</v>
      </c>
    </row>
    <row r="48" spans="1:8" ht="60" customHeight="1">
      <c r="A48" s="95" t="s">
        <v>1233</v>
      </c>
      <c r="B48" s="46" t="s">
        <v>779</v>
      </c>
      <c r="C48" s="46" t="s">
        <v>1242</v>
      </c>
      <c r="D48" s="46" t="s">
        <v>1243</v>
      </c>
      <c r="E48" s="46" t="s">
        <v>1244</v>
      </c>
      <c r="F48" s="46" t="s">
        <v>703</v>
      </c>
      <c r="G48" s="46" t="s">
        <v>721</v>
      </c>
      <c r="H48" s="94" t="s">
        <v>703</v>
      </c>
    </row>
    <row r="49" spans="1:8" ht="60" customHeight="1">
      <c r="A49" s="95" t="s">
        <v>1233</v>
      </c>
      <c r="B49" s="46" t="s">
        <v>1245</v>
      </c>
      <c r="C49" s="46" t="s">
        <v>1246</v>
      </c>
      <c r="D49" s="46" t="s">
        <v>1247</v>
      </c>
      <c r="E49" s="46" t="s">
        <v>1248</v>
      </c>
      <c r="F49" s="46" t="s">
        <v>703</v>
      </c>
      <c r="G49" s="46" t="s">
        <v>721</v>
      </c>
      <c r="H49" s="94" t="s">
        <v>703</v>
      </c>
    </row>
    <row r="50" spans="1:8" ht="60" customHeight="1">
      <c r="A50" s="95" t="s">
        <v>1233</v>
      </c>
      <c r="B50" s="46" t="s">
        <v>1249</v>
      </c>
      <c r="C50" s="46" t="s">
        <v>1250</v>
      </c>
      <c r="D50" s="46" t="s">
        <v>1251</v>
      </c>
      <c r="E50" s="46" t="s">
        <v>1252</v>
      </c>
      <c r="F50" s="46" t="s">
        <v>1112</v>
      </c>
      <c r="G50" s="46" t="s">
        <v>721</v>
      </c>
      <c r="H50" s="94" t="s">
        <v>703</v>
      </c>
    </row>
    <row r="51" spans="1:8" ht="60" customHeight="1">
      <c r="A51" s="95" t="s">
        <v>1233</v>
      </c>
      <c r="B51" s="46" t="s">
        <v>1253</v>
      </c>
      <c r="C51" s="46" t="s">
        <v>1254</v>
      </c>
      <c r="D51" s="46" t="s">
        <v>1255</v>
      </c>
      <c r="E51" s="46" t="s">
        <v>1256</v>
      </c>
      <c r="F51" s="46" t="s">
        <v>1112</v>
      </c>
      <c r="G51" s="46" t="s">
        <v>721</v>
      </c>
      <c r="H51" s="94" t="s">
        <v>703</v>
      </c>
    </row>
    <row r="52" spans="1:8" ht="60" customHeight="1">
      <c r="A52" s="95" t="s">
        <v>1233</v>
      </c>
      <c r="B52" s="46" t="s">
        <v>1257</v>
      </c>
      <c r="C52" s="46" t="s">
        <v>1258</v>
      </c>
      <c r="D52" s="46" t="s">
        <v>1259</v>
      </c>
      <c r="E52" s="46" t="s">
        <v>1260</v>
      </c>
      <c r="F52" s="46" t="s">
        <v>703</v>
      </c>
      <c r="G52" s="46" t="s">
        <v>721</v>
      </c>
      <c r="H52" s="94" t="s">
        <v>703</v>
      </c>
    </row>
    <row r="53" spans="1:8" ht="60" customHeight="1">
      <c r="A53" s="95" t="s">
        <v>1233</v>
      </c>
      <c r="B53" s="46" t="s">
        <v>1261</v>
      </c>
      <c r="C53" s="46" t="s">
        <v>1262</v>
      </c>
      <c r="D53" s="46" t="s">
        <v>1263</v>
      </c>
      <c r="E53" s="46" t="s">
        <v>1264</v>
      </c>
      <c r="F53" s="46" t="s">
        <v>703</v>
      </c>
      <c r="G53" s="46" t="s">
        <v>721</v>
      </c>
      <c r="H53" s="94" t="s">
        <v>703</v>
      </c>
    </row>
    <row r="54" spans="1:8" ht="60" customHeight="1">
      <c r="A54" s="95" t="s">
        <v>1233</v>
      </c>
      <c r="B54" s="46" t="s">
        <v>1265</v>
      </c>
      <c r="C54" s="46" t="s">
        <v>1266</v>
      </c>
      <c r="D54" s="46" t="s">
        <v>1267</v>
      </c>
      <c r="E54" s="46" t="s">
        <v>1268</v>
      </c>
      <c r="F54" s="46" t="s">
        <v>703</v>
      </c>
      <c r="G54" s="46" t="s">
        <v>1168</v>
      </c>
      <c r="H54" s="94" t="s">
        <v>703</v>
      </c>
    </row>
    <row r="55" spans="1:8" ht="60" customHeight="1">
      <c r="A55" s="95" t="s">
        <v>1233</v>
      </c>
      <c r="B55" s="46" t="s">
        <v>1269</v>
      </c>
      <c r="C55" s="46" t="s">
        <v>1270</v>
      </c>
      <c r="D55" s="46" t="s">
        <v>1271</v>
      </c>
      <c r="E55" s="46" t="s">
        <v>1272</v>
      </c>
      <c r="F55" s="46" t="s">
        <v>1112</v>
      </c>
      <c r="G55" s="46" t="s">
        <v>707</v>
      </c>
      <c r="H55" s="94" t="s">
        <v>703</v>
      </c>
    </row>
    <row r="56" spans="1:8" ht="60" customHeight="1">
      <c r="A56" s="95" t="s">
        <v>1233</v>
      </c>
      <c r="B56" s="46" t="s">
        <v>1273</v>
      </c>
      <c r="C56" s="46" t="s">
        <v>1274</v>
      </c>
      <c r="D56" s="46" t="s">
        <v>1275</v>
      </c>
      <c r="E56" s="46" t="s">
        <v>1276</v>
      </c>
      <c r="F56" s="46" t="s">
        <v>703</v>
      </c>
      <c r="G56" s="46" t="s">
        <v>785</v>
      </c>
      <c r="H56" s="94" t="s">
        <v>703</v>
      </c>
    </row>
    <row r="57" spans="1:8" ht="60" customHeight="1">
      <c r="A57" s="95" t="s">
        <v>1233</v>
      </c>
      <c r="B57" s="46" t="s">
        <v>1277</v>
      </c>
      <c r="C57" s="46" t="s">
        <v>1278</v>
      </c>
      <c r="D57" s="46" t="s">
        <v>1279</v>
      </c>
      <c r="E57" s="46" t="s">
        <v>1280</v>
      </c>
      <c r="F57" s="46" t="s">
        <v>703</v>
      </c>
      <c r="G57" s="46" t="s">
        <v>785</v>
      </c>
      <c r="H57" s="94" t="s">
        <v>703</v>
      </c>
    </row>
    <row r="58" spans="1:8" ht="60" customHeight="1">
      <c r="A58" s="95" t="s">
        <v>1233</v>
      </c>
      <c r="B58" s="46" t="s">
        <v>1281</v>
      </c>
      <c r="C58" s="46" t="s">
        <v>1282</v>
      </c>
      <c r="D58" s="46" t="s">
        <v>1283</v>
      </c>
      <c r="E58" s="46" t="s">
        <v>1284</v>
      </c>
      <c r="F58" s="46" t="s">
        <v>703</v>
      </c>
      <c r="G58" s="46" t="s">
        <v>785</v>
      </c>
      <c r="H58" s="94" t="s">
        <v>703</v>
      </c>
    </row>
    <row r="59" spans="1:8" ht="60" customHeight="1">
      <c r="A59" s="95" t="s">
        <v>1233</v>
      </c>
      <c r="B59" s="46" t="s">
        <v>790</v>
      </c>
      <c r="C59" s="46" t="s">
        <v>1285</v>
      </c>
      <c r="D59" s="46" t="s">
        <v>1286</v>
      </c>
      <c r="E59" s="46" t="s">
        <v>1287</v>
      </c>
      <c r="F59" s="46" t="s">
        <v>703</v>
      </c>
      <c r="G59" s="46" t="s">
        <v>785</v>
      </c>
      <c r="H59" s="94" t="s">
        <v>703</v>
      </c>
    </row>
    <row r="60" spans="1:8" ht="60" customHeight="1">
      <c r="A60" s="95" t="s">
        <v>1233</v>
      </c>
      <c r="B60" s="46" t="s">
        <v>1288</v>
      </c>
      <c r="C60" s="46" t="s">
        <v>1289</v>
      </c>
      <c r="D60" s="46" t="s">
        <v>1290</v>
      </c>
      <c r="E60" s="46" t="s">
        <v>1291</v>
      </c>
      <c r="F60" s="46" t="s">
        <v>703</v>
      </c>
      <c r="G60" s="46" t="s">
        <v>785</v>
      </c>
      <c r="H60" s="94" t="s">
        <v>703</v>
      </c>
    </row>
    <row r="61" spans="1:8" ht="60" customHeight="1">
      <c r="A61" s="95" t="s">
        <v>1233</v>
      </c>
      <c r="B61" s="46" t="s">
        <v>1292</v>
      </c>
      <c r="C61" s="46" t="s">
        <v>1293</v>
      </c>
      <c r="D61" s="46" t="s">
        <v>1294</v>
      </c>
      <c r="E61" s="46" t="s">
        <v>1295</v>
      </c>
      <c r="F61" s="46" t="s">
        <v>1112</v>
      </c>
      <c r="G61" s="46" t="s">
        <v>785</v>
      </c>
      <c r="H61" s="94" t="s">
        <v>1112</v>
      </c>
    </row>
    <row r="62" spans="1:8" ht="60" customHeight="1">
      <c r="A62" s="95" t="s">
        <v>1233</v>
      </c>
      <c r="B62" s="46" t="s">
        <v>1296</v>
      </c>
      <c r="C62" s="46" t="s">
        <v>1297</v>
      </c>
      <c r="D62" s="46" t="s">
        <v>1298</v>
      </c>
      <c r="E62" s="46" t="s">
        <v>1299</v>
      </c>
      <c r="F62" s="46" t="s">
        <v>1300</v>
      </c>
      <c r="G62" s="46" t="s">
        <v>707</v>
      </c>
      <c r="H62" s="94" t="s">
        <v>1112</v>
      </c>
    </row>
    <row r="63" spans="1:8" ht="60" customHeight="1">
      <c r="A63" s="95" t="s">
        <v>1301</v>
      </c>
      <c r="B63" s="46" t="s">
        <v>1302</v>
      </c>
      <c r="C63" s="46" t="s">
        <v>1303</v>
      </c>
      <c r="D63" s="46" t="s">
        <v>1304</v>
      </c>
      <c r="E63" s="46" t="s">
        <v>1305</v>
      </c>
      <c r="F63" s="46" t="s">
        <v>703</v>
      </c>
      <c r="G63" s="46" t="s">
        <v>707</v>
      </c>
      <c r="H63" s="94" t="s">
        <v>703</v>
      </c>
    </row>
    <row r="64" spans="1:8" ht="60" customHeight="1">
      <c r="A64" s="95" t="s">
        <v>1301</v>
      </c>
      <c r="B64" s="46" t="s">
        <v>1306</v>
      </c>
      <c r="C64" s="46" t="s">
        <v>1307</v>
      </c>
      <c r="D64" s="46" t="s">
        <v>1308</v>
      </c>
      <c r="E64" s="46" t="s">
        <v>1102</v>
      </c>
      <c r="F64" s="46" t="s">
        <v>703</v>
      </c>
      <c r="G64" s="46" t="s">
        <v>707</v>
      </c>
      <c r="H64" s="94" t="s">
        <v>703</v>
      </c>
    </row>
    <row r="65" spans="1:8" ht="60" customHeight="1">
      <c r="A65" s="95" t="s">
        <v>1301</v>
      </c>
      <c r="B65" s="46" t="s">
        <v>1309</v>
      </c>
      <c r="C65" s="46" t="s">
        <v>1310</v>
      </c>
      <c r="D65" s="46" t="s">
        <v>1311</v>
      </c>
      <c r="E65" s="46" t="s">
        <v>1312</v>
      </c>
      <c r="F65" s="46" t="s">
        <v>703</v>
      </c>
      <c r="G65" s="46" t="s">
        <v>707</v>
      </c>
      <c r="H65" s="94" t="s">
        <v>703</v>
      </c>
    </row>
    <row r="66" spans="1:8" ht="60" customHeight="1">
      <c r="A66" s="95" t="s">
        <v>1301</v>
      </c>
      <c r="B66" s="46" t="s">
        <v>1313</v>
      </c>
      <c r="C66" s="46" t="s">
        <v>1314</v>
      </c>
      <c r="D66" s="46" t="s">
        <v>1315</v>
      </c>
      <c r="E66" s="46" t="s">
        <v>1316</v>
      </c>
      <c r="F66" s="46" t="s">
        <v>703</v>
      </c>
      <c r="G66" s="46" t="s">
        <v>707</v>
      </c>
      <c r="H66" s="94" t="s">
        <v>703</v>
      </c>
    </row>
    <row r="67" spans="1:8" ht="60" customHeight="1">
      <c r="A67" s="95" t="s">
        <v>1301</v>
      </c>
      <c r="B67" s="46" t="s">
        <v>1317</v>
      </c>
      <c r="C67" s="46" t="s">
        <v>1318</v>
      </c>
      <c r="D67" s="46" t="s">
        <v>1319</v>
      </c>
      <c r="E67" s="46" t="s">
        <v>1320</v>
      </c>
      <c r="F67" s="46" t="s">
        <v>703</v>
      </c>
      <c r="G67" s="46" t="s">
        <v>707</v>
      </c>
      <c r="H67" s="94" t="s">
        <v>703</v>
      </c>
    </row>
    <row r="68" spans="1:8" ht="60" customHeight="1">
      <c r="A68" s="95" t="s">
        <v>1301</v>
      </c>
      <c r="B68" s="46" t="s">
        <v>1321</v>
      </c>
      <c r="C68" s="46" t="s">
        <v>1322</v>
      </c>
      <c r="D68" s="46" t="s">
        <v>1323</v>
      </c>
      <c r="E68" s="46" t="s">
        <v>1324</v>
      </c>
      <c r="F68" s="46" t="s">
        <v>1112</v>
      </c>
      <c r="G68" s="46" t="s">
        <v>1168</v>
      </c>
      <c r="H68" s="94" t="s">
        <v>703</v>
      </c>
    </row>
    <row r="69" spans="1:8" ht="60" customHeight="1">
      <c r="A69" s="95" t="s">
        <v>1301</v>
      </c>
      <c r="B69" s="46" t="s">
        <v>1325</v>
      </c>
      <c r="C69" s="46" t="s">
        <v>1326</v>
      </c>
      <c r="D69" s="46" t="s">
        <v>1327</v>
      </c>
      <c r="E69" s="46" t="s">
        <v>1328</v>
      </c>
      <c r="F69" s="46" t="s">
        <v>703</v>
      </c>
      <c r="G69" s="46" t="s">
        <v>1168</v>
      </c>
      <c r="H69" s="94" t="s">
        <v>703</v>
      </c>
    </row>
    <row r="70" spans="1:8" ht="60" customHeight="1">
      <c r="A70" s="95" t="s">
        <v>1301</v>
      </c>
      <c r="B70" s="46" t="s">
        <v>1329</v>
      </c>
      <c r="C70" s="46" t="s">
        <v>1330</v>
      </c>
      <c r="D70" s="46" t="s">
        <v>1331</v>
      </c>
      <c r="E70" s="46" t="s">
        <v>1332</v>
      </c>
      <c r="F70" s="46" t="s">
        <v>1112</v>
      </c>
      <c r="G70" s="46" t="s">
        <v>1168</v>
      </c>
      <c r="H70" s="94" t="s">
        <v>703</v>
      </c>
    </row>
    <row r="71" spans="1:8" ht="60" customHeight="1">
      <c r="A71" s="95" t="s">
        <v>1301</v>
      </c>
      <c r="B71" s="46" t="s">
        <v>1333</v>
      </c>
      <c r="C71" s="46" t="s">
        <v>1334</v>
      </c>
      <c r="D71" s="46" t="s">
        <v>1335</v>
      </c>
      <c r="E71" s="46" t="s">
        <v>1336</v>
      </c>
      <c r="F71" s="46" t="s">
        <v>703</v>
      </c>
      <c r="G71" s="46" t="s">
        <v>707</v>
      </c>
      <c r="H71" s="94" t="s">
        <v>703</v>
      </c>
    </row>
    <row r="72" spans="1:8" ht="60" customHeight="1">
      <c r="A72" s="95" t="s">
        <v>1301</v>
      </c>
      <c r="B72" s="46" t="s">
        <v>1337</v>
      </c>
      <c r="C72" s="46" t="s">
        <v>1338</v>
      </c>
      <c r="D72" s="46" t="s">
        <v>1339</v>
      </c>
      <c r="E72" s="46" t="s">
        <v>1340</v>
      </c>
      <c r="F72" s="46" t="s">
        <v>703</v>
      </c>
      <c r="G72" s="46" t="s">
        <v>707</v>
      </c>
      <c r="H72" s="94" t="s">
        <v>703</v>
      </c>
    </row>
    <row r="73" spans="1:8" ht="60" customHeight="1">
      <c r="A73" s="95" t="s">
        <v>1341</v>
      </c>
      <c r="B73" s="46" t="s">
        <v>1342</v>
      </c>
      <c r="C73" s="46" t="s">
        <v>1343</v>
      </c>
      <c r="D73" s="46" t="s">
        <v>1344</v>
      </c>
      <c r="E73" s="46" t="s">
        <v>1345</v>
      </c>
      <c r="F73" s="46" t="s">
        <v>703</v>
      </c>
      <c r="G73" s="46" t="s">
        <v>707</v>
      </c>
      <c r="H73" s="94" t="s">
        <v>703</v>
      </c>
    </row>
    <row r="74" spans="1:8" ht="60" customHeight="1">
      <c r="A74" s="95" t="s">
        <v>1341</v>
      </c>
      <c r="B74" s="46" t="s">
        <v>1346</v>
      </c>
      <c r="C74" s="46" t="s">
        <v>1347</v>
      </c>
      <c r="D74" s="46" t="s">
        <v>1348</v>
      </c>
      <c r="E74" s="46" t="s">
        <v>1349</v>
      </c>
      <c r="F74" s="46" t="s">
        <v>703</v>
      </c>
      <c r="G74" s="46" t="s">
        <v>707</v>
      </c>
      <c r="H74" s="94" t="s">
        <v>703</v>
      </c>
    </row>
    <row r="75" spans="1:8" ht="60" customHeight="1">
      <c r="A75" s="95" t="s">
        <v>1341</v>
      </c>
      <c r="B75" s="46" t="s">
        <v>1350</v>
      </c>
      <c r="C75" s="46" t="s">
        <v>1351</v>
      </c>
      <c r="D75" s="46" t="s">
        <v>1352</v>
      </c>
      <c r="E75" s="46" t="s">
        <v>1353</v>
      </c>
      <c r="F75" s="46" t="s">
        <v>703</v>
      </c>
      <c r="G75" s="46" t="s">
        <v>707</v>
      </c>
      <c r="H75" s="94" t="s">
        <v>703</v>
      </c>
    </row>
    <row r="76" spans="1:8" ht="60" customHeight="1">
      <c r="A76" s="95" t="s">
        <v>1341</v>
      </c>
      <c r="B76" s="46" t="s">
        <v>1354</v>
      </c>
      <c r="C76" s="46" t="s">
        <v>1355</v>
      </c>
      <c r="D76" s="46" t="s">
        <v>1356</v>
      </c>
      <c r="E76" s="46" t="s">
        <v>1357</v>
      </c>
      <c r="F76" s="46" t="s">
        <v>703</v>
      </c>
      <c r="G76" s="46" t="s">
        <v>1180</v>
      </c>
      <c r="H76" s="94" t="s">
        <v>703</v>
      </c>
    </row>
    <row r="77" spans="1:8" ht="60" customHeight="1">
      <c r="A77" s="95" t="s">
        <v>1341</v>
      </c>
      <c r="B77" s="46" t="s">
        <v>1358</v>
      </c>
      <c r="C77" s="46" t="s">
        <v>1359</v>
      </c>
      <c r="D77" s="46" t="s">
        <v>1360</v>
      </c>
      <c r="E77" s="46" t="s">
        <v>1361</v>
      </c>
      <c r="F77" s="46" t="s">
        <v>1112</v>
      </c>
      <c r="G77" s="46" t="s">
        <v>707</v>
      </c>
      <c r="H77" s="94" t="s">
        <v>703</v>
      </c>
    </row>
    <row r="78" spans="1:8" ht="60" customHeight="1">
      <c r="A78" s="95" t="s">
        <v>1341</v>
      </c>
      <c r="B78" s="46" t="s">
        <v>1362</v>
      </c>
      <c r="C78" s="46" t="s">
        <v>1363</v>
      </c>
      <c r="D78" s="46" t="s">
        <v>1364</v>
      </c>
      <c r="E78" s="46" t="s">
        <v>1365</v>
      </c>
      <c r="F78" s="46" t="s">
        <v>1112</v>
      </c>
      <c r="G78" s="46" t="s">
        <v>707</v>
      </c>
      <c r="H78" s="94" t="s">
        <v>703</v>
      </c>
    </row>
    <row r="79" spans="1:8" ht="60" customHeight="1">
      <c r="A79" s="95" t="s">
        <v>1341</v>
      </c>
      <c r="B79" s="46" t="s">
        <v>1366</v>
      </c>
      <c r="C79" s="46" t="s">
        <v>1367</v>
      </c>
      <c r="D79" s="46" t="s">
        <v>1368</v>
      </c>
      <c r="E79" s="46" t="s">
        <v>1369</v>
      </c>
      <c r="F79" s="46" t="s">
        <v>703</v>
      </c>
      <c r="G79" s="46" t="s">
        <v>707</v>
      </c>
      <c r="H79" s="94" t="s">
        <v>703</v>
      </c>
    </row>
    <row r="80" spans="1:8" ht="60" customHeight="1">
      <c r="A80" s="95" t="s">
        <v>1341</v>
      </c>
      <c r="B80" s="46" t="s">
        <v>1370</v>
      </c>
      <c r="C80" s="46" t="s">
        <v>1371</v>
      </c>
      <c r="D80" s="46" t="s">
        <v>1372</v>
      </c>
      <c r="E80" s="46" t="s">
        <v>1373</v>
      </c>
      <c r="F80" s="46" t="s">
        <v>1112</v>
      </c>
      <c r="G80" s="46" t="s">
        <v>707</v>
      </c>
      <c r="H80" s="94" t="s">
        <v>703</v>
      </c>
    </row>
    <row r="81" spans="1:8" ht="60" customHeight="1">
      <c r="A81" s="95" t="s">
        <v>1341</v>
      </c>
      <c r="B81" s="46" t="s">
        <v>1374</v>
      </c>
      <c r="C81" s="46" t="s">
        <v>1375</v>
      </c>
      <c r="D81" s="46" t="s">
        <v>1376</v>
      </c>
      <c r="E81" s="46" t="s">
        <v>1377</v>
      </c>
      <c r="F81" s="46" t="s">
        <v>1112</v>
      </c>
      <c r="G81" s="46" t="s">
        <v>707</v>
      </c>
      <c r="H81" s="94" t="s">
        <v>1112</v>
      </c>
    </row>
    <row r="82" spans="1:8" ht="60" customHeight="1">
      <c r="A82" s="95" t="s">
        <v>1378</v>
      </c>
      <c r="B82" s="46" t="s">
        <v>1379</v>
      </c>
      <c r="C82" s="46" t="s">
        <v>1380</v>
      </c>
      <c r="D82" s="46" t="s">
        <v>1381</v>
      </c>
      <c r="E82" s="46" t="s">
        <v>1382</v>
      </c>
      <c r="F82" s="46" t="s">
        <v>703</v>
      </c>
      <c r="G82" s="46" t="s">
        <v>1168</v>
      </c>
      <c r="H82" s="94" t="s">
        <v>703</v>
      </c>
    </row>
    <row r="83" spans="1:8" ht="60" customHeight="1">
      <c r="A83" s="95" t="s">
        <v>1378</v>
      </c>
      <c r="B83" s="46" t="s">
        <v>1383</v>
      </c>
      <c r="C83" s="46" t="s">
        <v>1384</v>
      </c>
      <c r="D83" s="46" t="s">
        <v>1385</v>
      </c>
      <c r="E83" s="46" t="s">
        <v>1386</v>
      </c>
      <c r="F83" s="46" t="s">
        <v>703</v>
      </c>
      <c r="G83" s="46" t="s">
        <v>1168</v>
      </c>
      <c r="H83" s="94" t="s">
        <v>1112</v>
      </c>
    </row>
    <row r="84" spans="1:8" ht="60" customHeight="1">
      <c r="A84" s="95" t="s">
        <v>1378</v>
      </c>
      <c r="B84" s="46" t="s">
        <v>1387</v>
      </c>
      <c r="C84" s="46" t="s">
        <v>1388</v>
      </c>
      <c r="D84" s="46" t="s">
        <v>1389</v>
      </c>
      <c r="E84" s="46" t="s">
        <v>1390</v>
      </c>
      <c r="F84" s="46" t="s">
        <v>703</v>
      </c>
      <c r="G84" s="46" t="s">
        <v>1168</v>
      </c>
      <c r="H84" s="94" t="s">
        <v>703</v>
      </c>
    </row>
    <row r="85" spans="1:8" ht="60" customHeight="1">
      <c r="A85" s="95" t="s">
        <v>1378</v>
      </c>
      <c r="B85" s="46" t="s">
        <v>1391</v>
      </c>
      <c r="C85" s="46" t="s">
        <v>1392</v>
      </c>
      <c r="D85" s="46" t="s">
        <v>1393</v>
      </c>
      <c r="E85" s="46" t="s">
        <v>1394</v>
      </c>
      <c r="F85" s="46" t="s">
        <v>1112</v>
      </c>
      <c r="G85" s="46" t="s">
        <v>806</v>
      </c>
      <c r="H85" s="94" t="s">
        <v>1112</v>
      </c>
    </row>
    <row r="86" spans="1:8" ht="60" customHeight="1">
      <c r="A86" s="95" t="s">
        <v>1378</v>
      </c>
      <c r="B86" s="46" t="s">
        <v>1395</v>
      </c>
      <c r="C86" s="46" t="s">
        <v>1396</v>
      </c>
      <c r="D86" s="46" t="s">
        <v>1397</v>
      </c>
      <c r="E86" s="46" t="s">
        <v>1398</v>
      </c>
      <c r="F86" s="46" t="s">
        <v>1112</v>
      </c>
      <c r="G86" s="46" t="s">
        <v>1168</v>
      </c>
      <c r="H86" s="94" t="s">
        <v>1112</v>
      </c>
    </row>
    <row r="87" spans="1:8" ht="60" customHeight="1">
      <c r="A87" s="95" t="s">
        <v>1378</v>
      </c>
      <c r="B87" s="46" t="s">
        <v>1399</v>
      </c>
      <c r="C87" s="46" t="s">
        <v>1400</v>
      </c>
      <c r="D87" s="46" t="s">
        <v>1401</v>
      </c>
      <c r="E87" s="46" t="s">
        <v>1402</v>
      </c>
      <c r="F87" s="46" t="s">
        <v>1112</v>
      </c>
      <c r="G87" s="46" t="s">
        <v>707</v>
      </c>
      <c r="H87" s="94" t="s">
        <v>703</v>
      </c>
    </row>
    <row r="88" spans="1:8" ht="60" customHeight="1">
      <c r="A88" s="95" t="s">
        <v>1378</v>
      </c>
      <c r="B88" s="46" t="s">
        <v>1403</v>
      </c>
      <c r="C88" s="46" t="s">
        <v>1404</v>
      </c>
      <c r="D88" s="46" t="s">
        <v>1405</v>
      </c>
      <c r="E88" s="46" t="s">
        <v>1406</v>
      </c>
      <c r="F88" s="46" t="s">
        <v>1300</v>
      </c>
      <c r="G88" s="46" t="s">
        <v>707</v>
      </c>
      <c r="H88" s="94" t="s">
        <v>1112</v>
      </c>
    </row>
    <row r="89" spans="1:8" ht="60" customHeight="1">
      <c r="A89" s="95" t="s">
        <v>1407</v>
      </c>
      <c r="B89" s="46" t="s">
        <v>794</v>
      </c>
      <c r="C89" s="46" t="s">
        <v>1408</v>
      </c>
      <c r="D89" s="46" t="s">
        <v>1409</v>
      </c>
      <c r="E89" s="46" t="s">
        <v>1410</v>
      </c>
      <c r="F89" s="46" t="s">
        <v>703</v>
      </c>
      <c r="G89" s="46" t="s">
        <v>1411</v>
      </c>
      <c r="H89" s="94" t="s">
        <v>703</v>
      </c>
    </row>
    <row r="90" spans="1:8" ht="60" customHeight="1">
      <c r="A90" s="95" t="s">
        <v>1407</v>
      </c>
      <c r="B90" s="46" t="s">
        <v>1412</v>
      </c>
      <c r="C90" s="46" t="s">
        <v>1413</v>
      </c>
      <c r="D90" s="46" t="s">
        <v>1414</v>
      </c>
      <c r="E90" s="46" t="s">
        <v>1415</v>
      </c>
      <c r="F90" s="46" t="s">
        <v>703</v>
      </c>
      <c r="G90" s="46" t="s">
        <v>1411</v>
      </c>
      <c r="H90" s="94" t="s">
        <v>703</v>
      </c>
    </row>
    <row r="91" spans="1:8" ht="60" customHeight="1">
      <c r="A91" s="95" t="s">
        <v>1407</v>
      </c>
      <c r="B91" s="46" t="s">
        <v>1416</v>
      </c>
      <c r="C91" s="46" t="s">
        <v>1417</v>
      </c>
      <c r="D91" s="46" t="s">
        <v>1418</v>
      </c>
      <c r="E91" s="46" t="s">
        <v>1419</v>
      </c>
      <c r="F91" s="46" t="s">
        <v>703</v>
      </c>
      <c r="G91" s="46" t="s">
        <v>707</v>
      </c>
      <c r="H91" s="94" t="s">
        <v>703</v>
      </c>
    </row>
    <row r="92" spans="1:8" ht="60" customHeight="1">
      <c r="A92" s="95" t="s">
        <v>1407</v>
      </c>
      <c r="B92" s="46" t="s">
        <v>1420</v>
      </c>
      <c r="C92" s="46" t="s">
        <v>1421</v>
      </c>
      <c r="D92" s="46" t="s">
        <v>1422</v>
      </c>
      <c r="E92" s="46" t="s">
        <v>1423</v>
      </c>
      <c r="F92" s="46" t="s">
        <v>703</v>
      </c>
      <c r="G92" s="46" t="s">
        <v>707</v>
      </c>
      <c r="H92" s="94" t="s">
        <v>703</v>
      </c>
    </row>
    <row r="93" spans="1:8" ht="60" customHeight="1">
      <c r="A93" s="95" t="s">
        <v>1407</v>
      </c>
      <c r="B93" s="46" t="s">
        <v>807</v>
      </c>
      <c r="C93" s="46" t="s">
        <v>1424</v>
      </c>
      <c r="D93" s="46" t="s">
        <v>1425</v>
      </c>
      <c r="E93" s="46" t="s">
        <v>1426</v>
      </c>
      <c r="F93" s="46" t="s">
        <v>703</v>
      </c>
      <c r="G93" s="46" t="s">
        <v>707</v>
      </c>
      <c r="H93" s="94" t="s">
        <v>703</v>
      </c>
    </row>
    <row r="94" spans="1:8" ht="60" customHeight="1">
      <c r="A94" s="95" t="s">
        <v>1407</v>
      </c>
      <c r="B94" s="46" t="s">
        <v>1427</v>
      </c>
      <c r="C94" s="46" t="s">
        <v>1428</v>
      </c>
      <c r="D94" s="46" t="s">
        <v>1429</v>
      </c>
      <c r="E94" s="46" t="s">
        <v>1430</v>
      </c>
      <c r="F94" s="46" t="s">
        <v>1112</v>
      </c>
      <c r="G94" s="46" t="s">
        <v>707</v>
      </c>
      <c r="H94" s="94" t="s">
        <v>703</v>
      </c>
    </row>
    <row r="95" spans="1:8" ht="60" customHeight="1">
      <c r="A95" s="95" t="s">
        <v>1407</v>
      </c>
      <c r="B95" s="46" t="s">
        <v>1431</v>
      </c>
      <c r="C95" s="46" t="s">
        <v>1432</v>
      </c>
      <c r="D95" s="46" t="s">
        <v>1433</v>
      </c>
      <c r="E95" s="46" t="s">
        <v>1434</v>
      </c>
      <c r="F95" s="46" t="s">
        <v>703</v>
      </c>
      <c r="G95" s="46" t="s">
        <v>707</v>
      </c>
      <c r="H95" s="94" t="s">
        <v>703</v>
      </c>
    </row>
    <row r="96" spans="1:8" ht="60" customHeight="1">
      <c r="A96" s="95" t="s">
        <v>1407</v>
      </c>
      <c r="B96" s="46" t="s">
        <v>1435</v>
      </c>
      <c r="C96" s="46" t="s">
        <v>1436</v>
      </c>
      <c r="D96" s="46" t="s">
        <v>1437</v>
      </c>
      <c r="E96" s="46" t="s">
        <v>1438</v>
      </c>
      <c r="F96" s="46" t="s">
        <v>1112</v>
      </c>
      <c r="G96" s="46" t="s">
        <v>1168</v>
      </c>
      <c r="H96" s="94" t="s">
        <v>703</v>
      </c>
    </row>
    <row r="97" spans="1:8" ht="60" customHeight="1">
      <c r="A97" s="95" t="s">
        <v>1439</v>
      </c>
      <c r="B97" s="46" t="s">
        <v>803</v>
      </c>
      <c r="C97" s="46" t="s">
        <v>1440</v>
      </c>
      <c r="D97" s="46" t="s">
        <v>1441</v>
      </c>
      <c r="E97" s="46" t="s">
        <v>1442</v>
      </c>
      <c r="F97" s="46" t="s">
        <v>703</v>
      </c>
      <c r="G97" s="46" t="s">
        <v>806</v>
      </c>
      <c r="H97" s="94" t="s">
        <v>703</v>
      </c>
    </row>
    <row r="98" spans="1:8" ht="60" customHeight="1">
      <c r="A98" s="95" t="s">
        <v>1439</v>
      </c>
      <c r="B98" s="46" t="s">
        <v>1443</v>
      </c>
      <c r="C98" s="46" t="s">
        <v>1444</v>
      </c>
      <c r="D98" s="46" t="s">
        <v>1445</v>
      </c>
      <c r="E98" s="46" t="s">
        <v>1446</v>
      </c>
      <c r="F98" s="46" t="s">
        <v>703</v>
      </c>
      <c r="G98" s="46" t="s">
        <v>806</v>
      </c>
      <c r="H98" s="94" t="s">
        <v>703</v>
      </c>
    </row>
    <row r="99" spans="1:8" ht="60" customHeight="1">
      <c r="A99" s="95" t="s">
        <v>1439</v>
      </c>
      <c r="B99" s="46" t="s">
        <v>1447</v>
      </c>
      <c r="C99" s="46" t="s">
        <v>1448</v>
      </c>
      <c r="D99" s="46" t="s">
        <v>1449</v>
      </c>
      <c r="E99" s="46" t="s">
        <v>1450</v>
      </c>
      <c r="F99" s="46" t="s">
        <v>1112</v>
      </c>
      <c r="G99" s="46" t="s">
        <v>806</v>
      </c>
      <c r="H99" s="94" t="s">
        <v>703</v>
      </c>
    </row>
    <row r="100" spans="1:8" ht="60" customHeight="1">
      <c r="A100" s="95" t="s">
        <v>1439</v>
      </c>
      <c r="B100" s="46" t="s">
        <v>1451</v>
      </c>
      <c r="C100" s="46" t="s">
        <v>1452</v>
      </c>
      <c r="D100" s="46" t="s">
        <v>1453</v>
      </c>
      <c r="E100" s="46" t="s">
        <v>1454</v>
      </c>
      <c r="F100" s="46" t="s">
        <v>1112</v>
      </c>
      <c r="G100" s="46" t="s">
        <v>806</v>
      </c>
      <c r="H100" s="94" t="s">
        <v>703</v>
      </c>
    </row>
    <row r="101" spans="1:8" ht="60" customHeight="1">
      <c r="A101" s="95" t="s">
        <v>1439</v>
      </c>
      <c r="B101" s="46" t="s">
        <v>1455</v>
      </c>
      <c r="C101" s="46" t="s">
        <v>1456</v>
      </c>
      <c r="D101" s="46" t="s">
        <v>1457</v>
      </c>
      <c r="E101" s="46" t="s">
        <v>1458</v>
      </c>
      <c r="F101" s="46" t="s">
        <v>1112</v>
      </c>
      <c r="G101" s="46" t="s">
        <v>806</v>
      </c>
      <c r="H101" s="94" t="s">
        <v>703</v>
      </c>
    </row>
    <row r="102" spans="1:8" ht="60" customHeight="1">
      <c r="A102" s="95" t="s">
        <v>1439</v>
      </c>
      <c r="B102" s="46" t="s">
        <v>1459</v>
      </c>
      <c r="C102" s="46" t="s">
        <v>1460</v>
      </c>
      <c r="D102" s="46" t="s">
        <v>1461</v>
      </c>
      <c r="E102" s="46" t="s">
        <v>1462</v>
      </c>
      <c r="F102" s="46" t="s">
        <v>703</v>
      </c>
      <c r="G102" s="46" t="s">
        <v>806</v>
      </c>
      <c r="H102" s="94" t="s">
        <v>703</v>
      </c>
    </row>
    <row r="103" spans="1:8" ht="60" customHeight="1">
      <c r="A103" s="95" t="s">
        <v>1463</v>
      </c>
      <c r="B103" s="46" t="s">
        <v>1464</v>
      </c>
      <c r="C103" s="46" t="s">
        <v>1465</v>
      </c>
      <c r="D103" s="46" t="s">
        <v>1466</v>
      </c>
      <c r="E103" s="46" t="s">
        <v>1467</v>
      </c>
      <c r="F103" s="46" t="s">
        <v>703</v>
      </c>
      <c r="G103" s="46" t="s">
        <v>1085</v>
      </c>
      <c r="H103" s="94" t="s">
        <v>703</v>
      </c>
    </row>
    <row r="104" spans="1:8" ht="60" customHeight="1">
      <c r="A104" s="95" t="s">
        <v>1463</v>
      </c>
      <c r="B104" s="46" t="s">
        <v>1468</v>
      </c>
      <c r="C104" s="46" t="s">
        <v>756</v>
      </c>
      <c r="D104" s="46" t="s">
        <v>1466</v>
      </c>
      <c r="E104" s="46" t="s">
        <v>1469</v>
      </c>
      <c r="F104" s="46" t="s">
        <v>703</v>
      </c>
      <c r="G104" s="46" t="s">
        <v>1085</v>
      </c>
      <c r="H104" s="94" t="s">
        <v>703</v>
      </c>
    </row>
    <row r="105" spans="1:8" ht="60" customHeight="1">
      <c r="A105" s="95" t="s">
        <v>1463</v>
      </c>
      <c r="B105" s="46" t="s">
        <v>1470</v>
      </c>
      <c r="C105" s="46" t="s">
        <v>1471</v>
      </c>
      <c r="D105" s="46" t="s">
        <v>1466</v>
      </c>
      <c r="E105" s="46" t="s">
        <v>1472</v>
      </c>
      <c r="F105" s="46" t="s">
        <v>703</v>
      </c>
      <c r="G105" s="46" t="s">
        <v>1085</v>
      </c>
      <c r="H105" s="94" t="s">
        <v>703</v>
      </c>
    </row>
    <row r="106" spans="1:8" ht="60" customHeight="1">
      <c r="A106" s="95" t="s">
        <v>1463</v>
      </c>
      <c r="B106" s="46" t="s">
        <v>1473</v>
      </c>
      <c r="C106" s="46" t="s">
        <v>1474</v>
      </c>
      <c r="D106" s="46" t="s">
        <v>1475</v>
      </c>
      <c r="E106" s="46" t="s">
        <v>1476</v>
      </c>
      <c r="F106" s="46" t="s">
        <v>1112</v>
      </c>
      <c r="G106" s="46" t="s">
        <v>701</v>
      </c>
      <c r="H106" s="94" t="s">
        <v>1112</v>
      </c>
    </row>
    <row r="107" spans="1:8" ht="60" customHeight="1">
      <c r="A107" s="95" t="s">
        <v>1463</v>
      </c>
      <c r="B107" s="46" t="s">
        <v>1477</v>
      </c>
      <c r="C107" s="46" t="s">
        <v>1478</v>
      </c>
      <c r="D107" s="46" t="s">
        <v>1479</v>
      </c>
      <c r="E107" s="46" t="s">
        <v>1480</v>
      </c>
      <c r="F107" s="46" t="s">
        <v>703</v>
      </c>
      <c r="G107" s="46" t="s">
        <v>785</v>
      </c>
      <c r="H107" s="94" t="s">
        <v>703</v>
      </c>
    </row>
    <row r="108" spans="1:8" ht="60" customHeight="1">
      <c r="A108" s="96" t="s">
        <v>1463</v>
      </c>
      <c r="B108" s="97" t="s">
        <v>1481</v>
      </c>
      <c r="C108" s="97" t="s">
        <v>1482</v>
      </c>
      <c r="D108" s="97" t="s">
        <v>1483</v>
      </c>
      <c r="E108" s="97" t="s">
        <v>1484</v>
      </c>
      <c r="F108" s="97" t="s">
        <v>703</v>
      </c>
      <c r="G108" s="97" t="s">
        <v>707</v>
      </c>
      <c r="H108" s="98" t="s">
        <v>1112</v>
      </c>
    </row>
    <row r="109" spans="1:8" ht="15.75" customHeight="1">
      <c r="A109" s="131" t="s">
        <v>1485</v>
      </c>
      <c r="B109" s="131"/>
      <c r="C109" s="131"/>
      <c r="D109" s="131"/>
      <c r="E109" s="131"/>
      <c r="F109" s="131"/>
      <c r="G109" s="131"/>
      <c r="H109" s="131"/>
    </row>
    <row r="110" spans="1:8" ht="15.75" customHeight="1">
      <c r="A110" s="7" t="s">
        <v>838</v>
      </c>
      <c r="B110" s="7" t="s">
        <v>1486</v>
      </c>
      <c r="C110" s="7" t="s">
        <v>1487</v>
      </c>
      <c r="D110" s="7" t="s">
        <v>1488</v>
      </c>
      <c r="E110" s="7" t="s">
        <v>1489</v>
      </c>
      <c r="F110" s="7" t="s">
        <v>703</v>
      </c>
      <c r="G110" s="7" t="s">
        <v>1490</v>
      </c>
      <c r="H110" s="7" t="s">
        <v>703</v>
      </c>
    </row>
    <row r="111" spans="1:8" ht="15.75" customHeight="1">
      <c r="A111" s="7" t="s">
        <v>838</v>
      </c>
      <c r="B111" s="7" t="s">
        <v>841</v>
      </c>
      <c r="C111" s="7" t="s">
        <v>1491</v>
      </c>
      <c r="D111" s="7" t="s">
        <v>1492</v>
      </c>
      <c r="E111" s="7" t="s">
        <v>1493</v>
      </c>
      <c r="F111" s="7" t="s">
        <v>703</v>
      </c>
      <c r="G111" s="7" t="s">
        <v>1490</v>
      </c>
      <c r="H111" s="7" t="s">
        <v>703</v>
      </c>
    </row>
    <row r="112" spans="1:8" ht="15.75" customHeight="1">
      <c r="A112" s="7" t="s">
        <v>838</v>
      </c>
      <c r="B112" s="7" t="s">
        <v>1494</v>
      </c>
      <c r="C112" s="7" t="s">
        <v>1495</v>
      </c>
      <c r="D112" s="7" t="s">
        <v>870</v>
      </c>
      <c r="E112" s="7" t="s">
        <v>1496</v>
      </c>
      <c r="F112" s="7" t="s">
        <v>703</v>
      </c>
      <c r="G112" s="7" t="s">
        <v>1497</v>
      </c>
      <c r="H112" s="7" t="s">
        <v>703</v>
      </c>
    </row>
    <row r="113" spans="1:8" ht="15.75" customHeight="1">
      <c r="A113" s="7" t="s">
        <v>838</v>
      </c>
      <c r="B113" s="7" t="s">
        <v>1498</v>
      </c>
      <c r="C113" s="7" t="s">
        <v>1499</v>
      </c>
      <c r="D113" s="7" t="s">
        <v>1500</v>
      </c>
      <c r="E113" s="7" t="s">
        <v>1501</v>
      </c>
      <c r="F113" s="7" t="s">
        <v>703</v>
      </c>
      <c r="G113" s="7" t="s">
        <v>1497</v>
      </c>
      <c r="H113" s="7" t="s">
        <v>703</v>
      </c>
    </row>
    <row r="114" spans="1:8" ht="15.75" customHeight="1">
      <c r="A114" s="7" t="s">
        <v>838</v>
      </c>
      <c r="B114" s="7" t="s">
        <v>1502</v>
      </c>
      <c r="C114" s="7" t="s">
        <v>1503</v>
      </c>
      <c r="D114" s="7" t="s">
        <v>1504</v>
      </c>
      <c r="E114" s="7" t="s">
        <v>1505</v>
      </c>
      <c r="F114" s="7" t="s">
        <v>703</v>
      </c>
      <c r="G114" s="7" t="s">
        <v>1506</v>
      </c>
      <c r="H114" s="7" t="s">
        <v>703</v>
      </c>
    </row>
    <row r="115" spans="1:8" ht="15.75" customHeight="1">
      <c r="A115" s="7" t="s">
        <v>838</v>
      </c>
      <c r="B115" s="7" t="s">
        <v>1507</v>
      </c>
      <c r="C115" s="7" t="s">
        <v>1508</v>
      </c>
      <c r="D115" s="7" t="s">
        <v>1509</v>
      </c>
      <c r="E115" s="7" t="s">
        <v>1510</v>
      </c>
      <c r="F115" s="7" t="s">
        <v>703</v>
      </c>
      <c r="G115" s="7" t="s">
        <v>1511</v>
      </c>
      <c r="H115" s="7" t="s">
        <v>703</v>
      </c>
    </row>
    <row r="116" spans="1:8" ht="15.75" customHeight="1">
      <c r="A116" s="7" t="s">
        <v>838</v>
      </c>
      <c r="B116" s="7" t="s">
        <v>1512</v>
      </c>
      <c r="C116" s="7" t="s">
        <v>1513</v>
      </c>
      <c r="D116" s="7" t="s">
        <v>1514</v>
      </c>
      <c r="E116" s="7" t="s">
        <v>1515</v>
      </c>
      <c r="F116" s="7" t="s">
        <v>703</v>
      </c>
      <c r="G116" s="7" t="s">
        <v>1516</v>
      </c>
      <c r="H116" s="7" t="s">
        <v>703</v>
      </c>
    </row>
    <row r="117" spans="1:8" ht="15.75" customHeight="1">
      <c r="A117" s="7" t="s">
        <v>838</v>
      </c>
      <c r="B117" s="7" t="s">
        <v>1517</v>
      </c>
      <c r="C117" s="7" t="s">
        <v>1518</v>
      </c>
      <c r="D117" s="7" t="s">
        <v>1519</v>
      </c>
      <c r="E117" s="7" t="s">
        <v>1520</v>
      </c>
      <c r="F117" s="7" t="s">
        <v>703</v>
      </c>
      <c r="G117" s="7" t="s">
        <v>1521</v>
      </c>
      <c r="H117" s="7" t="s">
        <v>703</v>
      </c>
    </row>
    <row r="118" spans="1:8" ht="15.75" customHeight="1">
      <c r="A118" s="7" t="s">
        <v>838</v>
      </c>
      <c r="B118" s="7" t="s">
        <v>1522</v>
      </c>
      <c r="C118" s="7" t="s">
        <v>1523</v>
      </c>
      <c r="D118" s="7" t="s">
        <v>1524</v>
      </c>
      <c r="E118" s="7" t="s">
        <v>1525</v>
      </c>
      <c r="F118" s="7" t="s">
        <v>1112</v>
      </c>
      <c r="G118" s="7" t="s">
        <v>1521</v>
      </c>
      <c r="H118" s="7" t="s">
        <v>703</v>
      </c>
    </row>
    <row r="119" spans="1:8" ht="15.75" customHeight="1">
      <c r="A119" s="7" t="s">
        <v>838</v>
      </c>
      <c r="B119" s="7" t="s">
        <v>1526</v>
      </c>
      <c r="C119" s="7" t="s">
        <v>1527</v>
      </c>
      <c r="D119" s="7" t="s">
        <v>1528</v>
      </c>
      <c r="E119" s="7" t="s">
        <v>1529</v>
      </c>
      <c r="F119" s="7" t="s">
        <v>1112</v>
      </c>
      <c r="G119" s="7" t="s">
        <v>1521</v>
      </c>
      <c r="H119" s="7" t="s">
        <v>703</v>
      </c>
    </row>
    <row r="120" spans="1:8" ht="15.75" customHeight="1">
      <c r="A120" s="7" t="s">
        <v>838</v>
      </c>
      <c r="B120" s="7" t="s">
        <v>1530</v>
      </c>
      <c r="C120" s="7" t="s">
        <v>1531</v>
      </c>
      <c r="D120" s="7" t="s">
        <v>1532</v>
      </c>
      <c r="E120" s="7" t="s">
        <v>1533</v>
      </c>
      <c r="F120" s="7" t="s">
        <v>703</v>
      </c>
      <c r="G120" s="7" t="s">
        <v>1534</v>
      </c>
      <c r="H120" s="7" t="s">
        <v>703</v>
      </c>
    </row>
    <row r="121" spans="1:8" ht="15.75" customHeight="1">
      <c r="A121" s="7" t="s">
        <v>838</v>
      </c>
      <c r="B121" s="7" t="s">
        <v>1535</v>
      </c>
      <c r="C121" s="7" t="s">
        <v>1536</v>
      </c>
      <c r="D121" s="7" t="s">
        <v>1537</v>
      </c>
      <c r="E121" s="7" t="s">
        <v>1538</v>
      </c>
      <c r="F121" s="7" t="s">
        <v>703</v>
      </c>
      <c r="G121" s="7" t="s">
        <v>1539</v>
      </c>
      <c r="H121" s="7" t="s">
        <v>703</v>
      </c>
    </row>
    <row r="122" spans="1:8" ht="15.75" customHeight="1">
      <c r="A122" s="7" t="s">
        <v>838</v>
      </c>
      <c r="B122" s="7" t="s">
        <v>1540</v>
      </c>
      <c r="C122" s="7" t="s">
        <v>1541</v>
      </c>
      <c r="D122" s="7" t="s">
        <v>1542</v>
      </c>
      <c r="E122" s="7" t="s">
        <v>1543</v>
      </c>
      <c r="F122" s="7" t="s">
        <v>703</v>
      </c>
      <c r="G122" s="7" t="s">
        <v>1544</v>
      </c>
      <c r="H122" s="7" t="s">
        <v>703</v>
      </c>
    </row>
    <row r="123" spans="1:8" ht="15.75" customHeight="1">
      <c r="A123" s="7" t="s">
        <v>838</v>
      </c>
      <c r="B123" s="7" t="s">
        <v>1545</v>
      </c>
      <c r="C123" s="7" t="s">
        <v>1546</v>
      </c>
      <c r="D123" s="7" t="s">
        <v>1547</v>
      </c>
      <c r="E123" s="7" t="s">
        <v>1548</v>
      </c>
      <c r="F123" s="7" t="s">
        <v>703</v>
      </c>
      <c r="G123" s="7" t="s">
        <v>1549</v>
      </c>
      <c r="H123" s="7" t="s">
        <v>703</v>
      </c>
    </row>
    <row r="124" spans="1:8" ht="15.75" customHeight="1">
      <c r="A124" s="7" t="s">
        <v>838</v>
      </c>
      <c r="B124" s="7" t="s">
        <v>1550</v>
      </c>
      <c r="C124" s="7" t="s">
        <v>1551</v>
      </c>
      <c r="D124" s="7" t="s">
        <v>1552</v>
      </c>
      <c r="E124" s="7" t="s">
        <v>1553</v>
      </c>
      <c r="F124" s="7" t="s">
        <v>703</v>
      </c>
      <c r="G124" s="7" t="s">
        <v>1554</v>
      </c>
      <c r="H124" s="7" t="s">
        <v>703</v>
      </c>
    </row>
    <row r="125" spans="1:8" ht="15.75" customHeight="1">
      <c r="A125" s="7" t="s">
        <v>838</v>
      </c>
      <c r="B125" s="7" t="s">
        <v>1555</v>
      </c>
      <c r="C125" s="7" t="s">
        <v>1556</v>
      </c>
      <c r="D125" s="7" t="s">
        <v>1557</v>
      </c>
      <c r="E125" s="7" t="s">
        <v>1558</v>
      </c>
      <c r="F125" s="7" t="s">
        <v>1112</v>
      </c>
      <c r="G125" s="7" t="s">
        <v>1559</v>
      </c>
      <c r="H125" s="7" t="s">
        <v>703</v>
      </c>
    </row>
    <row r="126" spans="1:8" ht="15.75" customHeight="1">
      <c r="A126" s="7" t="s">
        <v>838</v>
      </c>
      <c r="B126" s="7" t="s">
        <v>1560</v>
      </c>
      <c r="C126" s="7" t="s">
        <v>1561</v>
      </c>
      <c r="D126" s="7" t="s">
        <v>1562</v>
      </c>
      <c r="E126" s="7" t="s">
        <v>1563</v>
      </c>
      <c r="F126" s="7" t="s">
        <v>703</v>
      </c>
      <c r="G126" s="7" t="s">
        <v>1564</v>
      </c>
      <c r="H126" s="7" t="s">
        <v>703</v>
      </c>
    </row>
    <row r="127" spans="1:8" ht="15.75" customHeight="1">
      <c r="A127" s="7" t="s">
        <v>838</v>
      </c>
      <c r="B127" s="7" t="s">
        <v>1565</v>
      </c>
      <c r="C127" s="7" t="s">
        <v>1566</v>
      </c>
      <c r="D127" s="7" t="s">
        <v>1567</v>
      </c>
      <c r="E127" s="7" t="s">
        <v>1568</v>
      </c>
      <c r="F127" s="7" t="s">
        <v>703</v>
      </c>
      <c r="G127" s="7" t="s">
        <v>1569</v>
      </c>
      <c r="H127" s="7" t="s">
        <v>703</v>
      </c>
    </row>
    <row r="128" spans="1:8" ht="15.75" customHeight="1">
      <c r="A128" s="7" t="s">
        <v>838</v>
      </c>
      <c r="B128" s="7" t="s">
        <v>1570</v>
      </c>
      <c r="C128" s="7" t="s">
        <v>1571</v>
      </c>
      <c r="D128" s="7" t="s">
        <v>1572</v>
      </c>
      <c r="E128" s="7" t="s">
        <v>1573</v>
      </c>
      <c r="F128" s="7" t="s">
        <v>703</v>
      </c>
      <c r="G128" s="7" t="s">
        <v>1569</v>
      </c>
      <c r="H128" s="7" t="s">
        <v>703</v>
      </c>
    </row>
    <row r="129" spans="1:8" ht="15.75" customHeight="1">
      <c r="A129" s="7" t="s">
        <v>838</v>
      </c>
      <c r="B129" s="7" t="s">
        <v>1574</v>
      </c>
      <c r="C129" s="7" t="s">
        <v>1575</v>
      </c>
      <c r="D129" s="7" t="s">
        <v>1576</v>
      </c>
      <c r="E129" s="7" t="s">
        <v>1577</v>
      </c>
      <c r="F129" s="7" t="s">
        <v>1112</v>
      </c>
      <c r="G129" s="7" t="s">
        <v>1578</v>
      </c>
      <c r="H129" s="7" t="s">
        <v>703</v>
      </c>
    </row>
    <row r="130" spans="1:8" ht="15.75" customHeight="1">
      <c r="A130" s="7" t="s">
        <v>838</v>
      </c>
      <c r="B130" s="7" t="s">
        <v>866</v>
      </c>
      <c r="C130" s="7" t="s">
        <v>1579</v>
      </c>
      <c r="D130" s="7" t="s">
        <v>1580</v>
      </c>
      <c r="E130" s="7" t="s">
        <v>1581</v>
      </c>
      <c r="F130" s="7" t="s">
        <v>703</v>
      </c>
      <c r="G130" s="7" t="s">
        <v>1582</v>
      </c>
      <c r="H130" s="7" t="s">
        <v>703</v>
      </c>
    </row>
    <row r="131" spans="1:8" ht="15.75" customHeight="1">
      <c r="A131" s="7" t="s">
        <v>838</v>
      </c>
      <c r="B131" s="7" t="s">
        <v>1583</v>
      </c>
      <c r="C131" s="7" t="s">
        <v>1584</v>
      </c>
      <c r="D131" s="7" t="s">
        <v>1585</v>
      </c>
      <c r="E131" s="7" t="s">
        <v>1586</v>
      </c>
      <c r="F131" s="7" t="s">
        <v>1112</v>
      </c>
      <c r="G131" s="7" t="s">
        <v>1582</v>
      </c>
      <c r="H131" s="7" t="s">
        <v>703</v>
      </c>
    </row>
    <row r="132" spans="1:8" ht="15.75" customHeight="1">
      <c r="A132" s="7" t="s">
        <v>838</v>
      </c>
      <c r="B132" s="7" t="s">
        <v>1587</v>
      </c>
      <c r="C132" s="7" t="s">
        <v>1588</v>
      </c>
      <c r="D132" s="7" t="s">
        <v>1589</v>
      </c>
      <c r="E132" s="7" t="s">
        <v>1590</v>
      </c>
      <c r="F132" s="7" t="s">
        <v>1112</v>
      </c>
      <c r="G132" s="7" t="s">
        <v>1591</v>
      </c>
      <c r="H132" s="7" t="s">
        <v>703</v>
      </c>
    </row>
    <row r="133" spans="1:8" ht="15.75" customHeight="1">
      <c r="A133" s="7" t="s">
        <v>838</v>
      </c>
      <c r="B133" s="7" t="s">
        <v>1592</v>
      </c>
      <c r="C133" s="7" t="s">
        <v>1593</v>
      </c>
      <c r="D133" s="7" t="s">
        <v>1594</v>
      </c>
      <c r="E133" s="7" t="s">
        <v>1595</v>
      </c>
      <c r="F133" s="7" t="s">
        <v>703</v>
      </c>
      <c r="G133" s="7" t="s">
        <v>1596</v>
      </c>
      <c r="H133" s="7" t="s">
        <v>703</v>
      </c>
    </row>
    <row r="134" spans="1:8" ht="15.75" customHeight="1">
      <c r="A134" s="7" t="s">
        <v>838</v>
      </c>
      <c r="B134" s="7" t="s">
        <v>1597</v>
      </c>
      <c r="C134" s="7" t="s">
        <v>1598</v>
      </c>
      <c r="D134" s="7" t="s">
        <v>1599</v>
      </c>
      <c r="E134" s="7" t="s">
        <v>1600</v>
      </c>
      <c r="F134" s="7" t="s">
        <v>703</v>
      </c>
      <c r="G134" s="7" t="s">
        <v>1596</v>
      </c>
      <c r="H134" s="7" t="s">
        <v>703</v>
      </c>
    </row>
    <row r="135" spans="1:8" ht="15.75" customHeight="1">
      <c r="A135" s="7" t="s">
        <v>838</v>
      </c>
      <c r="B135" s="7" t="s">
        <v>860</v>
      </c>
      <c r="C135" s="7" t="s">
        <v>1601</v>
      </c>
      <c r="D135" s="7" t="s">
        <v>1602</v>
      </c>
      <c r="E135" s="7" t="s">
        <v>1603</v>
      </c>
      <c r="F135" s="7" t="s">
        <v>1112</v>
      </c>
      <c r="G135" s="7" t="s">
        <v>1596</v>
      </c>
      <c r="H135" s="7" t="s">
        <v>703</v>
      </c>
    </row>
    <row r="136" spans="1:8" ht="15.75" customHeight="1">
      <c r="A136" s="7" t="s">
        <v>838</v>
      </c>
      <c r="B136" s="7" t="s">
        <v>1604</v>
      </c>
      <c r="C136" s="7" t="s">
        <v>1605</v>
      </c>
      <c r="D136" s="7" t="s">
        <v>1606</v>
      </c>
      <c r="E136" s="7" t="s">
        <v>1607</v>
      </c>
      <c r="F136" s="7" t="s">
        <v>703</v>
      </c>
      <c r="G136" s="7" t="s">
        <v>1608</v>
      </c>
      <c r="H136" s="7" t="s">
        <v>703</v>
      </c>
    </row>
    <row r="137" spans="1:8" ht="15.75" customHeight="1">
      <c r="A137" s="7" t="s">
        <v>838</v>
      </c>
      <c r="B137" s="7" t="s">
        <v>1609</v>
      </c>
      <c r="C137" s="7" t="s">
        <v>1610</v>
      </c>
      <c r="D137" s="7" t="s">
        <v>1611</v>
      </c>
      <c r="E137" s="7" t="s">
        <v>1612</v>
      </c>
      <c r="F137" s="7" t="s">
        <v>1112</v>
      </c>
      <c r="G137" s="7" t="s">
        <v>1608</v>
      </c>
      <c r="H137" s="7" t="s">
        <v>703</v>
      </c>
    </row>
    <row r="138" spans="1:8" ht="15.75" customHeight="1">
      <c r="A138" s="7" t="s">
        <v>838</v>
      </c>
      <c r="B138" s="7" t="s">
        <v>1613</v>
      </c>
      <c r="C138" s="7" t="s">
        <v>1614</v>
      </c>
      <c r="D138" s="7" t="s">
        <v>1615</v>
      </c>
      <c r="E138" s="7" t="s">
        <v>1616</v>
      </c>
      <c r="F138" s="7" t="s">
        <v>1112</v>
      </c>
      <c r="G138" s="7" t="s">
        <v>1608</v>
      </c>
      <c r="H138" s="7" t="s">
        <v>703</v>
      </c>
    </row>
    <row r="139" spans="1:8" ht="15.75" customHeight="1">
      <c r="A139" s="7" t="s">
        <v>838</v>
      </c>
      <c r="B139" s="7" t="s">
        <v>842</v>
      </c>
      <c r="C139" s="7" t="s">
        <v>1617</v>
      </c>
      <c r="D139" s="7" t="s">
        <v>1618</v>
      </c>
      <c r="E139" s="7" t="s">
        <v>1619</v>
      </c>
      <c r="F139" s="7" t="s">
        <v>703</v>
      </c>
      <c r="G139" s="7" t="s">
        <v>1620</v>
      </c>
      <c r="H139" s="7" t="s">
        <v>703</v>
      </c>
    </row>
    <row r="140" spans="1:8" ht="15.75" customHeight="1">
      <c r="A140" s="7" t="s">
        <v>892</v>
      </c>
      <c r="B140" s="7" t="s">
        <v>1621</v>
      </c>
      <c r="C140" s="7" t="s">
        <v>1622</v>
      </c>
      <c r="D140" s="7" t="s">
        <v>1623</v>
      </c>
      <c r="E140" s="7" t="s">
        <v>1624</v>
      </c>
      <c r="F140" s="7" t="s">
        <v>703</v>
      </c>
      <c r="G140" s="7" t="s">
        <v>1620</v>
      </c>
      <c r="H140" s="7" t="s">
        <v>703</v>
      </c>
    </row>
    <row r="141" spans="1:8" ht="15.75" customHeight="1">
      <c r="A141" s="7" t="s">
        <v>892</v>
      </c>
      <c r="B141" s="7" t="s">
        <v>1625</v>
      </c>
      <c r="C141" s="7" t="s">
        <v>1626</v>
      </c>
      <c r="D141" s="7" t="s">
        <v>1627</v>
      </c>
      <c r="E141" s="7" t="s">
        <v>1628</v>
      </c>
      <c r="F141" s="7" t="s">
        <v>703</v>
      </c>
      <c r="G141" s="7" t="s">
        <v>1629</v>
      </c>
      <c r="H141" s="7" t="s">
        <v>703</v>
      </c>
    </row>
    <row r="142" spans="1:8" ht="15.75" customHeight="1">
      <c r="A142" s="7" t="s">
        <v>892</v>
      </c>
      <c r="B142" s="7" t="s">
        <v>1630</v>
      </c>
      <c r="C142" s="7" t="s">
        <v>1631</v>
      </c>
      <c r="D142" s="7" t="s">
        <v>1632</v>
      </c>
      <c r="E142" s="7" t="s">
        <v>1633</v>
      </c>
      <c r="F142" s="7" t="s">
        <v>703</v>
      </c>
      <c r="G142" s="7" t="s">
        <v>1634</v>
      </c>
      <c r="H142" s="7" t="s">
        <v>703</v>
      </c>
    </row>
    <row r="143" spans="1:8" ht="15.75" customHeight="1">
      <c r="A143" s="7" t="s">
        <v>892</v>
      </c>
      <c r="B143" s="7" t="s">
        <v>1635</v>
      </c>
      <c r="C143" s="7" t="s">
        <v>1636</v>
      </c>
      <c r="D143" s="7" t="s">
        <v>1637</v>
      </c>
      <c r="E143" s="7" t="s">
        <v>1638</v>
      </c>
      <c r="F143" s="7" t="s">
        <v>1112</v>
      </c>
      <c r="G143" s="7" t="s">
        <v>1639</v>
      </c>
      <c r="H143" s="7" t="s">
        <v>703</v>
      </c>
    </row>
    <row r="144" spans="1:8" ht="15.75" customHeight="1">
      <c r="A144" s="7" t="s">
        <v>741</v>
      </c>
      <c r="B144" s="7" t="s">
        <v>1081</v>
      </c>
      <c r="C144" s="7" t="s">
        <v>1640</v>
      </c>
      <c r="D144" s="7" t="s">
        <v>1641</v>
      </c>
      <c r="E144" s="7" t="s">
        <v>1642</v>
      </c>
      <c r="F144" s="7" t="s">
        <v>703</v>
      </c>
      <c r="G144" s="7" t="s">
        <v>1643</v>
      </c>
      <c r="H144" s="7" t="s">
        <v>703</v>
      </c>
    </row>
    <row r="145" spans="1:8" ht="15.75" customHeight="1">
      <c r="A145" s="7" t="s">
        <v>741</v>
      </c>
      <c r="B145" s="7" t="s">
        <v>1086</v>
      </c>
      <c r="C145" s="7" t="s">
        <v>1644</v>
      </c>
      <c r="D145" s="7" t="s">
        <v>1089</v>
      </c>
      <c r="E145" s="7" t="s">
        <v>1645</v>
      </c>
      <c r="F145" s="7" t="s">
        <v>703</v>
      </c>
      <c r="G145" s="7" t="s">
        <v>1646</v>
      </c>
      <c r="H145" s="7" t="s">
        <v>703</v>
      </c>
    </row>
    <row r="146" spans="1:8" ht="15.75" customHeight="1">
      <c r="A146" s="7" t="s">
        <v>741</v>
      </c>
      <c r="B146" s="7" t="s">
        <v>742</v>
      </c>
      <c r="C146" s="7" t="s">
        <v>1647</v>
      </c>
      <c r="D146" s="7" t="s">
        <v>1648</v>
      </c>
      <c r="E146" s="7" t="s">
        <v>1649</v>
      </c>
      <c r="F146" s="7" t="s">
        <v>703</v>
      </c>
      <c r="G146" s="7" t="s">
        <v>1650</v>
      </c>
      <c r="H146" s="7" t="s">
        <v>703</v>
      </c>
    </row>
    <row r="147" spans="1:8" ht="15.75" customHeight="1">
      <c r="A147" s="7" t="s">
        <v>741</v>
      </c>
      <c r="B147" s="7" t="s">
        <v>1651</v>
      </c>
      <c r="C147" s="7" t="s">
        <v>1652</v>
      </c>
      <c r="D147" s="7" t="s">
        <v>1653</v>
      </c>
      <c r="E147" s="7" t="s">
        <v>1654</v>
      </c>
      <c r="F147" s="7" t="s">
        <v>703</v>
      </c>
      <c r="G147" s="7" t="s">
        <v>1655</v>
      </c>
      <c r="H147" s="7" t="s">
        <v>703</v>
      </c>
    </row>
    <row r="148" spans="1:8" ht="15.75" customHeight="1">
      <c r="A148" s="7" t="s">
        <v>741</v>
      </c>
      <c r="B148" s="7" t="s">
        <v>1656</v>
      </c>
      <c r="C148" s="7" t="s">
        <v>1657</v>
      </c>
      <c r="D148" s="7" t="s">
        <v>1658</v>
      </c>
      <c r="E148" s="7" t="s">
        <v>1134</v>
      </c>
      <c r="F148" s="7" t="s">
        <v>703</v>
      </c>
      <c r="G148" s="7" t="s">
        <v>1659</v>
      </c>
      <c r="H148" s="7" t="s">
        <v>703</v>
      </c>
    </row>
    <row r="149" spans="1:8" ht="15.75" customHeight="1">
      <c r="A149" s="7" t="s">
        <v>741</v>
      </c>
      <c r="B149" s="7" t="s">
        <v>1135</v>
      </c>
      <c r="C149" s="7" t="s">
        <v>1660</v>
      </c>
      <c r="D149" s="7" t="s">
        <v>1661</v>
      </c>
      <c r="E149" s="7" t="s">
        <v>1662</v>
      </c>
      <c r="F149" s="7" t="s">
        <v>703</v>
      </c>
      <c r="G149" s="7" t="s">
        <v>1663</v>
      </c>
      <c r="H149" s="7" t="s">
        <v>703</v>
      </c>
    </row>
    <row r="150" spans="1:8" ht="15.75" customHeight="1">
      <c r="A150" s="7" t="s">
        <v>741</v>
      </c>
      <c r="B150" s="7" t="s">
        <v>1139</v>
      </c>
      <c r="C150" s="7" t="s">
        <v>1664</v>
      </c>
      <c r="D150" s="7" t="s">
        <v>1665</v>
      </c>
      <c r="E150" s="7" t="s">
        <v>1142</v>
      </c>
      <c r="F150" s="7" t="s">
        <v>703</v>
      </c>
      <c r="G150" s="7" t="s">
        <v>1659</v>
      </c>
      <c r="H150" s="7" t="s">
        <v>703</v>
      </c>
    </row>
    <row r="151" spans="1:8" ht="15.75" customHeight="1">
      <c r="A151" s="7" t="s">
        <v>741</v>
      </c>
      <c r="B151" s="7" t="s">
        <v>920</v>
      </c>
      <c r="C151" s="7" t="s">
        <v>1666</v>
      </c>
      <c r="D151" s="7" t="s">
        <v>1667</v>
      </c>
      <c r="E151" s="7" t="s">
        <v>1668</v>
      </c>
      <c r="F151" s="7" t="s">
        <v>703</v>
      </c>
      <c r="G151" s="7" t="s">
        <v>1669</v>
      </c>
      <c r="H151" s="7" t="s">
        <v>703</v>
      </c>
    </row>
    <row r="152" spans="1:8" ht="15.75" customHeight="1">
      <c r="A152" s="7" t="s">
        <v>741</v>
      </c>
      <c r="B152" s="7" t="s">
        <v>922</v>
      </c>
      <c r="C152" s="7" t="s">
        <v>1670</v>
      </c>
      <c r="D152" s="7" t="s">
        <v>1671</v>
      </c>
      <c r="E152" s="7" t="s">
        <v>1672</v>
      </c>
      <c r="F152" s="7" t="s">
        <v>703</v>
      </c>
      <c r="G152" s="7" t="s">
        <v>1673</v>
      </c>
      <c r="H152" s="7" t="s">
        <v>703</v>
      </c>
    </row>
    <row r="153" spans="1:8" ht="15.75" customHeight="1">
      <c r="A153" s="7" t="s">
        <v>741</v>
      </c>
      <c r="B153" s="7" t="s">
        <v>921</v>
      </c>
      <c r="C153" s="7" t="s">
        <v>1674</v>
      </c>
      <c r="D153" s="7" t="s">
        <v>1675</v>
      </c>
      <c r="E153" s="7" t="s">
        <v>1676</v>
      </c>
      <c r="F153" s="7" t="s">
        <v>703</v>
      </c>
      <c r="G153" s="7" t="s">
        <v>1659</v>
      </c>
      <c r="H153" s="7" t="s">
        <v>703</v>
      </c>
    </row>
    <row r="154" spans="1:8" ht="15.75" customHeight="1">
      <c r="A154" s="7" t="s">
        <v>741</v>
      </c>
      <c r="B154" s="7" t="s">
        <v>923</v>
      </c>
      <c r="C154" s="7" t="s">
        <v>1677</v>
      </c>
      <c r="D154" s="7" t="s">
        <v>1678</v>
      </c>
      <c r="E154" s="7" t="s">
        <v>1679</v>
      </c>
      <c r="F154" s="7" t="s">
        <v>703</v>
      </c>
      <c r="G154" s="7" t="s">
        <v>1659</v>
      </c>
      <c r="H154" s="7" t="s">
        <v>703</v>
      </c>
    </row>
    <row r="155" spans="1:8" ht="15.75" customHeight="1">
      <c r="A155" s="7" t="s">
        <v>741</v>
      </c>
      <c r="B155" s="7" t="s">
        <v>758</v>
      </c>
      <c r="C155" s="7" t="s">
        <v>1680</v>
      </c>
      <c r="D155" s="7" t="s">
        <v>1681</v>
      </c>
      <c r="E155" s="7" t="s">
        <v>1682</v>
      </c>
      <c r="F155" s="7" t="s">
        <v>1112</v>
      </c>
      <c r="G155" s="7" t="s">
        <v>1683</v>
      </c>
      <c r="H155" s="7" t="s">
        <v>703</v>
      </c>
    </row>
    <row r="156" spans="1:8" ht="15.75" customHeight="1">
      <c r="A156" s="7" t="s">
        <v>741</v>
      </c>
      <c r="B156" s="7" t="s">
        <v>1684</v>
      </c>
      <c r="C156" s="7" t="s">
        <v>1685</v>
      </c>
      <c r="D156" s="7" t="s">
        <v>1686</v>
      </c>
      <c r="E156" s="7" t="s">
        <v>1687</v>
      </c>
      <c r="F156" s="7" t="s">
        <v>703</v>
      </c>
      <c r="G156" s="7" t="s">
        <v>1688</v>
      </c>
      <c r="H156" s="7" t="s">
        <v>703</v>
      </c>
    </row>
    <row r="157" spans="1:8" ht="15.75" customHeight="1">
      <c r="A157" s="7" t="s">
        <v>741</v>
      </c>
      <c r="B157" s="7" t="s">
        <v>754</v>
      </c>
      <c r="C157" s="7" t="s">
        <v>1689</v>
      </c>
      <c r="D157" s="7" t="s">
        <v>1690</v>
      </c>
      <c r="E157" s="7" t="s">
        <v>1108</v>
      </c>
      <c r="F157" s="7" t="s">
        <v>703</v>
      </c>
      <c r="G157" s="7" t="s">
        <v>1691</v>
      </c>
      <c r="H157" s="7" t="s">
        <v>703</v>
      </c>
    </row>
    <row r="158" spans="1:8" ht="15.75" customHeight="1">
      <c r="A158" s="7" t="s">
        <v>741</v>
      </c>
      <c r="B158" s="7" t="s">
        <v>1692</v>
      </c>
      <c r="C158" s="7" t="s">
        <v>1693</v>
      </c>
      <c r="D158" s="7" t="s">
        <v>1694</v>
      </c>
      <c r="E158" s="7" t="s">
        <v>1695</v>
      </c>
      <c r="F158" s="7" t="s">
        <v>703</v>
      </c>
      <c r="G158" s="7" t="s">
        <v>1696</v>
      </c>
      <c r="H158" s="7" t="s">
        <v>703</v>
      </c>
    </row>
    <row r="159" spans="1:8" ht="15.75" customHeight="1">
      <c r="A159" s="7" t="s">
        <v>741</v>
      </c>
      <c r="B159" s="7" t="s">
        <v>935</v>
      </c>
      <c r="C159" s="7" t="s">
        <v>1697</v>
      </c>
      <c r="D159" s="7" t="s">
        <v>1698</v>
      </c>
      <c r="E159" s="7" t="s">
        <v>1699</v>
      </c>
      <c r="F159" s="7" t="s">
        <v>703</v>
      </c>
      <c r="G159" s="7" t="s">
        <v>1700</v>
      </c>
      <c r="H159" s="7" t="s">
        <v>703</v>
      </c>
    </row>
    <row r="160" spans="1:8" ht="15.75" customHeight="1">
      <c r="A160" s="7" t="s">
        <v>741</v>
      </c>
      <c r="B160" s="7" t="s">
        <v>1701</v>
      </c>
      <c r="C160" s="7" t="s">
        <v>1702</v>
      </c>
      <c r="D160" s="7" t="s">
        <v>1703</v>
      </c>
      <c r="E160" s="7" t="s">
        <v>1704</v>
      </c>
      <c r="F160" s="7" t="s">
        <v>1112</v>
      </c>
      <c r="G160" s="7" t="s">
        <v>1705</v>
      </c>
      <c r="H160" s="7" t="s">
        <v>703</v>
      </c>
    </row>
    <row r="161" spans="1:8" ht="15.75" customHeight="1">
      <c r="A161" s="7" t="s">
        <v>741</v>
      </c>
      <c r="B161" s="7" t="s">
        <v>1124</v>
      </c>
      <c r="C161" s="7" t="s">
        <v>1706</v>
      </c>
      <c r="D161" s="7" t="s">
        <v>1707</v>
      </c>
      <c r="E161" s="7" t="s">
        <v>1708</v>
      </c>
      <c r="F161" s="7" t="s">
        <v>1112</v>
      </c>
      <c r="G161" s="7" t="s">
        <v>1705</v>
      </c>
      <c r="H161" s="7" t="s">
        <v>703</v>
      </c>
    </row>
    <row r="162" spans="1:8" ht="15.75" customHeight="1">
      <c r="A162" s="7" t="s">
        <v>741</v>
      </c>
      <c r="B162" s="7" t="s">
        <v>942</v>
      </c>
      <c r="C162" s="7" t="s">
        <v>1709</v>
      </c>
      <c r="D162" s="7" t="s">
        <v>1710</v>
      </c>
      <c r="E162" s="7" t="s">
        <v>1711</v>
      </c>
      <c r="F162" s="7" t="s">
        <v>703</v>
      </c>
      <c r="G162" s="7" t="s">
        <v>1712</v>
      </c>
      <c r="H162" s="7" t="s">
        <v>703</v>
      </c>
    </row>
    <row r="163" spans="1:8" ht="15.75" customHeight="1">
      <c r="A163" s="7" t="s">
        <v>741</v>
      </c>
      <c r="B163" s="7" t="s">
        <v>1713</v>
      </c>
      <c r="C163" s="7" t="s">
        <v>1714</v>
      </c>
      <c r="D163" s="7" t="s">
        <v>1715</v>
      </c>
      <c r="E163" s="7" t="s">
        <v>1716</v>
      </c>
      <c r="F163" s="7" t="s">
        <v>1112</v>
      </c>
      <c r="G163" s="7" t="s">
        <v>1717</v>
      </c>
      <c r="H163" s="7" t="s">
        <v>703</v>
      </c>
    </row>
    <row r="164" spans="1:8" ht="15.75" customHeight="1">
      <c r="A164" s="7" t="s">
        <v>741</v>
      </c>
      <c r="B164" s="7" t="s">
        <v>1718</v>
      </c>
      <c r="C164" s="7" t="s">
        <v>1719</v>
      </c>
      <c r="D164" s="7" t="s">
        <v>1720</v>
      </c>
      <c r="E164" s="7" t="s">
        <v>1721</v>
      </c>
      <c r="F164" s="7" t="s">
        <v>1112</v>
      </c>
      <c r="G164" s="7" t="s">
        <v>1722</v>
      </c>
      <c r="H164" s="7" t="s">
        <v>703</v>
      </c>
    </row>
    <row r="165" spans="1:8" ht="15.75" customHeight="1">
      <c r="A165" s="7" t="s">
        <v>741</v>
      </c>
      <c r="B165" s="7" t="s">
        <v>1723</v>
      </c>
      <c r="C165" s="7" t="s">
        <v>1724</v>
      </c>
      <c r="D165" s="7" t="s">
        <v>1725</v>
      </c>
      <c r="E165" s="7" t="s">
        <v>1726</v>
      </c>
      <c r="F165" s="7" t="s">
        <v>1112</v>
      </c>
      <c r="G165" s="7" t="s">
        <v>1727</v>
      </c>
      <c r="H165" s="7" t="s">
        <v>703</v>
      </c>
    </row>
    <row r="166" spans="1:8" ht="15.75" customHeight="1">
      <c r="A166" s="7" t="s">
        <v>741</v>
      </c>
      <c r="B166" s="7" t="s">
        <v>1728</v>
      </c>
      <c r="C166" s="7" t="s">
        <v>1729</v>
      </c>
      <c r="D166" s="7" t="s">
        <v>1730</v>
      </c>
      <c r="E166" s="7" t="s">
        <v>1731</v>
      </c>
      <c r="F166" s="7" t="s">
        <v>703</v>
      </c>
      <c r="G166" s="7" t="s">
        <v>1732</v>
      </c>
      <c r="H166" s="7" t="s">
        <v>703</v>
      </c>
    </row>
    <row r="167" spans="1:8" ht="15.75" customHeight="1">
      <c r="A167" s="7" t="s">
        <v>741</v>
      </c>
      <c r="B167" s="7" t="s">
        <v>1733</v>
      </c>
      <c r="C167" s="7" t="s">
        <v>1734</v>
      </c>
      <c r="D167" s="7" t="s">
        <v>1735</v>
      </c>
      <c r="E167" s="7" t="s">
        <v>1736</v>
      </c>
      <c r="F167" s="7" t="s">
        <v>1112</v>
      </c>
      <c r="G167" s="7" t="s">
        <v>1737</v>
      </c>
      <c r="H167" s="7" t="s">
        <v>703</v>
      </c>
    </row>
    <row r="168" spans="1:8" ht="15.75" customHeight="1">
      <c r="A168" s="7" t="s">
        <v>741</v>
      </c>
      <c r="B168" s="7" t="s">
        <v>1738</v>
      </c>
      <c r="C168" s="7" t="s">
        <v>1739</v>
      </c>
      <c r="D168" s="7" t="s">
        <v>1740</v>
      </c>
      <c r="E168" s="7" t="s">
        <v>1741</v>
      </c>
      <c r="F168" s="7" t="s">
        <v>1112</v>
      </c>
      <c r="G168" s="7" t="s">
        <v>1742</v>
      </c>
      <c r="H168" s="7" t="s">
        <v>703</v>
      </c>
    </row>
    <row r="169" spans="1:8" ht="15.75" customHeight="1">
      <c r="A169" s="7" t="s">
        <v>741</v>
      </c>
      <c r="B169" s="7" t="s">
        <v>947</v>
      </c>
      <c r="C169" s="7" t="s">
        <v>1743</v>
      </c>
      <c r="D169" s="7" t="s">
        <v>1744</v>
      </c>
      <c r="E169" s="7" t="s">
        <v>1745</v>
      </c>
      <c r="F169" s="7" t="s">
        <v>703</v>
      </c>
      <c r="G169" s="7" t="s">
        <v>1746</v>
      </c>
      <c r="H169" s="7" t="s">
        <v>703</v>
      </c>
    </row>
    <row r="170" spans="1:8" ht="15.75" customHeight="1">
      <c r="A170" s="7" t="s">
        <v>741</v>
      </c>
      <c r="B170" s="7" t="s">
        <v>948</v>
      </c>
      <c r="C170" s="7" t="s">
        <v>1747</v>
      </c>
      <c r="D170" s="7" t="s">
        <v>1748</v>
      </c>
      <c r="E170" s="7" t="s">
        <v>1749</v>
      </c>
      <c r="F170" s="7" t="s">
        <v>703</v>
      </c>
      <c r="G170" s="7" t="s">
        <v>1750</v>
      </c>
      <c r="H170" s="7" t="s">
        <v>703</v>
      </c>
    </row>
    <row r="171" spans="1:8" ht="15.75" customHeight="1">
      <c r="A171" s="7" t="s">
        <v>741</v>
      </c>
      <c r="B171" s="7" t="s">
        <v>763</v>
      </c>
      <c r="C171" s="7" t="s">
        <v>1751</v>
      </c>
      <c r="D171" s="7" t="s">
        <v>1752</v>
      </c>
      <c r="E171" s="7" t="s">
        <v>1753</v>
      </c>
      <c r="F171" s="7" t="s">
        <v>703</v>
      </c>
      <c r="G171" s="7" t="s">
        <v>1754</v>
      </c>
      <c r="H171" s="7" t="s">
        <v>703</v>
      </c>
    </row>
    <row r="172" spans="1:8" ht="15.75" customHeight="1">
      <c r="A172" s="7" t="s">
        <v>741</v>
      </c>
      <c r="B172" s="7" t="s">
        <v>1755</v>
      </c>
      <c r="C172" s="7" t="s">
        <v>1756</v>
      </c>
      <c r="D172" s="7" t="s">
        <v>1757</v>
      </c>
      <c r="E172" s="7" t="s">
        <v>1758</v>
      </c>
      <c r="F172" s="7" t="s">
        <v>703</v>
      </c>
      <c r="G172" s="7" t="s">
        <v>1759</v>
      </c>
      <c r="H172" s="7" t="s">
        <v>703</v>
      </c>
    </row>
    <row r="173" spans="1:8" ht="15.75" customHeight="1">
      <c r="A173" s="7" t="s">
        <v>741</v>
      </c>
      <c r="B173" s="7" t="s">
        <v>941</v>
      </c>
      <c r="C173" s="7" t="s">
        <v>1760</v>
      </c>
      <c r="D173" s="7" t="s">
        <v>1761</v>
      </c>
      <c r="E173" s="7" t="s">
        <v>1762</v>
      </c>
      <c r="F173" s="7" t="s">
        <v>703</v>
      </c>
      <c r="G173" s="7" t="s">
        <v>1759</v>
      </c>
      <c r="H173" s="7" t="s">
        <v>703</v>
      </c>
    </row>
    <row r="174" spans="1:8" ht="15.75" customHeight="1">
      <c r="A174" s="7" t="s">
        <v>741</v>
      </c>
      <c r="B174" s="7" t="s">
        <v>1763</v>
      </c>
      <c r="C174" s="7" t="s">
        <v>1764</v>
      </c>
      <c r="D174" s="7" t="s">
        <v>1765</v>
      </c>
      <c r="E174" s="7" t="s">
        <v>1766</v>
      </c>
      <c r="F174" s="7" t="s">
        <v>703</v>
      </c>
      <c r="G174" s="7" t="s">
        <v>1767</v>
      </c>
      <c r="H174" s="7" t="s">
        <v>703</v>
      </c>
    </row>
    <row r="175" spans="1:8" ht="15.75" customHeight="1">
      <c r="A175" s="7" t="s">
        <v>741</v>
      </c>
      <c r="B175" s="7" t="s">
        <v>1768</v>
      </c>
      <c r="C175" s="7" t="s">
        <v>1769</v>
      </c>
      <c r="D175" s="7" t="s">
        <v>1770</v>
      </c>
      <c r="E175" s="7" t="s">
        <v>1771</v>
      </c>
      <c r="F175" s="7" t="s">
        <v>703</v>
      </c>
      <c r="G175" s="7" t="s">
        <v>1772</v>
      </c>
      <c r="H175" s="7" t="s">
        <v>703</v>
      </c>
    </row>
    <row r="176" spans="1:8" ht="15.75" customHeight="1">
      <c r="A176" s="7" t="s">
        <v>741</v>
      </c>
      <c r="B176" s="7" t="s">
        <v>1773</v>
      </c>
      <c r="C176" s="7" t="s">
        <v>1774</v>
      </c>
      <c r="D176" s="7" t="s">
        <v>1775</v>
      </c>
      <c r="E176" s="7" t="s">
        <v>1776</v>
      </c>
      <c r="F176" s="7" t="s">
        <v>703</v>
      </c>
      <c r="G176" s="7" t="s">
        <v>1777</v>
      </c>
      <c r="H176" s="7" t="s">
        <v>703</v>
      </c>
    </row>
    <row r="177" spans="1:8" ht="15.75" customHeight="1">
      <c r="A177" s="7" t="s">
        <v>741</v>
      </c>
      <c r="B177" s="7" t="s">
        <v>1778</v>
      </c>
      <c r="C177" s="7" t="s">
        <v>1779</v>
      </c>
      <c r="D177" s="7" t="s">
        <v>1780</v>
      </c>
      <c r="E177" s="7" t="s">
        <v>1781</v>
      </c>
      <c r="F177" s="7" t="s">
        <v>703</v>
      </c>
      <c r="G177" s="7" t="s">
        <v>1782</v>
      </c>
      <c r="H177" s="7" t="s">
        <v>703</v>
      </c>
    </row>
    <row r="178" spans="1:8" ht="15.75" customHeight="1">
      <c r="A178" s="7" t="s">
        <v>741</v>
      </c>
      <c r="B178" s="7" t="s">
        <v>1783</v>
      </c>
      <c r="C178" s="7" t="s">
        <v>1784</v>
      </c>
      <c r="D178" s="7" t="s">
        <v>1785</v>
      </c>
      <c r="E178" s="7" t="s">
        <v>1786</v>
      </c>
      <c r="F178" s="7" t="s">
        <v>703</v>
      </c>
      <c r="G178" s="7" t="s">
        <v>1787</v>
      </c>
      <c r="H178" s="7" t="s">
        <v>703</v>
      </c>
    </row>
    <row r="179" spans="1:8" ht="15.75" customHeight="1">
      <c r="A179" s="7" t="s">
        <v>741</v>
      </c>
      <c r="B179" s="7" t="s">
        <v>1788</v>
      </c>
      <c r="C179" s="7" t="s">
        <v>1789</v>
      </c>
      <c r="D179" s="7" t="s">
        <v>1790</v>
      </c>
      <c r="E179" s="7" t="s">
        <v>1791</v>
      </c>
      <c r="F179" s="7" t="s">
        <v>1112</v>
      </c>
      <c r="G179" s="7" t="s">
        <v>1792</v>
      </c>
      <c r="H179" s="7" t="s">
        <v>703</v>
      </c>
    </row>
    <row r="180" spans="1:8" ht="15.75" customHeight="1">
      <c r="A180" s="7" t="s">
        <v>741</v>
      </c>
      <c r="B180" s="7" t="s">
        <v>1793</v>
      </c>
      <c r="C180" s="7" t="s">
        <v>1794</v>
      </c>
      <c r="D180" s="7" t="s">
        <v>1795</v>
      </c>
      <c r="E180" s="7" t="s">
        <v>1796</v>
      </c>
      <c r="F180" s="7" t="s">
        <v>703</v>
      </c>
      <c r="G180" s="7" t="s">
        <v>1797</v>
      </c>
      <c r="H180" s="7" t="s">
        <v>703</v>
      </c>
    </row>
    <row r="181" spans="1:8" ht="15.75" customHeight="1">
      <c r="A181" s="7" t="s">
        <v>741</v>
      </c>
      <c r="B181" s="7" t="s">
        <v>1798</v>
      </c>
      <c r="C181" s="7" t="s">
        <v>1799</v>
      </c>
      <c r="D181" s="7" t="s">
        <v>1800</v>
      </c>
      <c r="E181" s="7" t="s">
        <v>1801</v>
      </c>
      <c r="F181" s="7" t="s">
        <v>1112</v>
      </c>
      <c r="G181" s="7" t="s">
        <v>1802</v>
      </c>
      <c r="H181" s="7" t="s">
        <v>703</v>
      </c>
    </row>
    <row r="182" spans="1:8" ht="15.75" customHeight="1">
      <c r="A182" s="7" t="s">
        <v>984</v>
      </c>
      <c r="B182" s="7" t="s">
        <v>1803</v>
      </c>
      <c r="C182" s="7" t="s">
        <v>1804</v>
      </c>
      <c r="D182" s="7" t="s">
        <v>1805</v>
      </c>
      <c r="E182" s="7" t="s">
        <v>1806</v>
      </c>
      <c r="F182" s="7" t="s">
        <v>703</v>
      </c>
      <c r="G182" s="7" t="s">
        <v>1807</v>
      </c>
      <c r="H182" s="7" t="s">
        <v>703</v>
      </c>
    </row>
    <row r="183" spans="1:8" ht="15.75" customHeight="1">
      <c r="A183" s="7" t="s">
        <v>984</v>
      </c>
      <c r="B183" s="7" t="s">
        <v>1808</v>
      </c>
      <c r="C183" s="7" t="s">
        <v>1809</v>
      </c>
      <c r="D183" s="7" t="s">
        <v>1810</v>
      </c>
      <c r="E183" s="7" t="s">
        <v>1811</v>
      </c>
      <c r="F183" s="7" t="s">
        <v>1112</v>
      </c>
      <c r="G183" s="7" t="s">
        <v>1812</v>
      </c>
      <c r="H183" s="7" t="s">
        <v>703</v>
      </c>
    </row>
    <row r="184" spans="1:8" ht="15.75" customHeight="1">
      <c r="A184" s="7" t="s">
        <v>984</v>
      </c>
      <c r="B184" s="7" t="s">
        <v>1813</v>
      </c>
      <c r="C184" s="7" t="s">
        <v>1814</v>
      </c>
      <c r="D184" s="7" t="s">
        <v>1815</v>
      </c>
      <c r="E184" s="7" t="s">
        <v>1816</v>
      </c>
      <c r="F184" s="7" t="s">
        <v>1112</v>
      </c>
      <c r="G184" s="7" t="s">
        <v>1817</v>
      </c>
      <c r="H184" s="7" t="s">
        <v>703</v>
      </c>
    </row>
    <row r="185" spans="1:8" ht="15.75" customHeight="1">
      <c r="A185" s="7" t="s">
        <v>984</v>
      </c>
      <c r="B185" s="7" t="s">
        <v>1818</v>
      </c>
      <c r="C185" s="7" t="s">
        <v>1819</v>
      </c>
      <c r="D185" s="7" t="s">
        <v>1820</v>
      </c>
      <c r="E185" s="7" t="s">
        <v>1821</v>
      </c>
      <c r="F185" s="7" t="s">
        <v>1112</v>
      </c>
      <c r="G185" s="7" t="s">
        <v>1817</v>
      </c>
      <c r="H185" s="7" t="s">
        <v>703</v>
      </c>
    </row>
    <row r="186" spans="1:8" ht="15.75" customHeight="1">
      <c r="A186" s="7" t="s">
        <v>984</v>
      </c>
      <c r="B186" s="7" t="s">
        <v>1822</v>
      </c>
      <c r="C186" s="7" t="s">
        <v>1823</v>
      </c>
      <c r="D186" s="7" t="s">
        <v>1824</v>
      </c>
      <c r="E186" s="7" t="s">
        <v>1825</v>
      </c>
      <c r="F186" s="7" t="s">
        <v>1112</v>
      </c>
      <c r="G186" s="7" t="s">
        <v>1817</v>
      </c>
      <c r="H186" s="7" t="s">
        <v>703</v>
      </c>
    </row>
    <row r="187" spans="1:8" ht="15.75" customHeight="1">
      <c r="A187" s="7" t="s">
        <v>984</v>
      </c>
      <c r="B187" s="7" t="s">
        <v>1826</v>
      </c>
      <c r="C187" s="7" t="s">
        <v>1827</v>
      </c>
      <c r="D187" s="7" t="s">
        <v>1828</v>
      </c>
      <c r="E187" s="7" t="s">
        <v>1829</v>
      </c>
      <c r="F187" s="7" t="s">
        <v>703</v>
      </c>
      <c r="G187" s="7" t="s">
        <v>1830</v>
      </c>
      <c r="H187" s="7" t="s">
        <v>703</v>
      </c>
    </row>
    <row r="188" spans="1:8" ht="15.75" customHeight="1">
      <c r="A188" s="7" t="s">
        <v>984</v>
      </c>
      <c r="B188" s="7" t="s">
        <v>1831</v>
      </c>
      <c r="C188" s="7" t="s">
        <v>1832</v>
      </c>
      <c r="D188" s="7" t="s">
        <v>1833</v>
      </c>
      <c r="E188" s="7" t="s">
        <v>1834</v>
      </c>
      <c r="F188" s="7" t="s">
        <v>703</v>
      </c>
      <c r="G188" s="7" t="s">
        <v>1835</v>
      </c>
      <c r="H188" s="7" t="s">
        <v>703</v>
      </c>
    </row>
    <row r="189" spans="1:8" ht="15.75" customHeight="1">
      <c r="A189" s="7" t="s">
        <v>984</v>
      </c>
      <c r="B189" s="7" t="s">
        <v>1836</v>
      </c>
      <c r="C189" s="7" t="s">
        <v>1837</v>
      </c>
      <c r="D189" s="7" t="s">
        <v>1838</v>
      </c>
      <c r="E189" s="7" t="s">
        <v>1839</v>
      </c>
      <c r="F189" s="7" t="s">
        <v>703</v>
      </c>
      <c r="G189" s="7" t="s">
        <v>1840</v>
      </c>
      <c r="H189" s="7" t="s">
        <v>703</v>
      </c>
    </row>
    <row r="190" spans="1:8" ht="15.75" customHeight="1">
      <c r="A190" s="7" t="s">
        <v>984</v>
      </c>
      <c r="B190" s="7" t="s">
        <v>1841</v>
      </c>
      <c r="C190" s="7" t="s">
        <v>1842</v>
      </c>
      <c r="D190" s="7" t="s">
        <v>1843</v>
      </c>
      <c r="E190" s="7" t="s">
        <v>1844</v>
      </c>
      <c r="F190" s="7" t="s">
        <v>1112</v>
      </c>
      <c r="G190" s="7" t="s">
        <v>1845</v>
      </c>
      <c r="H190" s="7" t="s">
        <v>703</v>
      </c>
    </row>
    <row r="191" spans="1:8" ht="15.75" customHeight="1">
      <c r="A191" s="7" t="s">
        <v>203</v>
      </c>
      <c r="B191" s="7" t="s">
        <v>1846</v>
      </c>
      <c r="C191" s="7" t="s">
        <v>1847</v>
      </c>
      <c r="D191" s="7" t="s">
        <v>1848</v>
      </c>
      <c r="E191" s="7" t="s">
        <v>1849</v>
      </c>
      <c r="F191" s="7" t="s">
        <v>1300</v>
      </c>
      <c r="G191" s="7" t="s">
        <v>1850</v>
      </c>
      <c r="H191" s="7" t="s">
        <v>703</v>
      </c>
    </row>
    <row r="192" spans="1:8" ht="15.75" customHeight="1">
      <c r="A192" s="7" t="s">
        <v>203</v>
      </c>
      <c r="B192" s="7" t="s">
        <v>1851</v>
      </c>
      <c r="C192" s="7" t="s">
        <v>1852</v>
      </c>
      <c r="D192" s="7" t="s">
        <v>1853</v>
      </c>
      <c r="E192" s="7" t="s">
        <v>1854</v>
      </c>
      <c r="F192" s="7" t="s">
        <v>1112</v>
      </c>
      <c r="G192" s="7" t="s">
        <v>1855</v>
      </c>
      <c r="H192" s="7" t="s">
        <v>703</v>
      </c>
    </row>
    <row r="193" spans="1:8" ht="15.75" customHeight="1">
      <c r="A193" s="7" t="s">
        <v>203</v>
      </c>
      <c r="B193" s="7" t="s">
        <v>1856</v>
      </c>
      <c r="C193" s="7" t="s">
        <v>1857</v>
      </c>
      <c r="D193" s="7" t="s">
        <v>1858</v>
      </c>
      <c r="E193" s="7" t="s">
        <v>1859</v>
      </c>
      <c r="F193" s="7" t="s">
        <v>1300</v>
      </c>
      <c r="G193" s="7" t="s">
        <v>1860</v>
      </c>
      <c r="H193" s="7" t="s">
        <v>703</v>
      </c>
    </row>
    <row r="194" spans="1:8" ht="15.75" customHeight="1">
      <c r="A194" s="7" t="s">
        <v>203</v>
      </c>
      <c r="B194" s="7" t="s">
        <v>1861</v>
      </c>
      <c r="C194" s="7" t="s">
        <v>1862</v>
      </c>
      <c r="D194" s="7" t="s">
        <v>1863</v>
      </c>
      <c r="E194" s="7" t="s">
        <v>1864</v>
      </c>
      <c r="F194" s="7" t="s">
        <v>1300</v>
      </c>
      <c r="G194" s="7" t="s">
        <v>1865</v>
      </c>
      <c r="H194" s="7" t="s">
        <v>703</v>
      </c>
    </row>
    <row r="195" spans="1:8" ht="15.75" customHeight="1">
      <c r="A195" s="7" t="s">
        <v>203</v>
      </c>
      <c r="B195" s="7" t="s">
        <v>1866</v>
      </c>
      <c r="C195" s="7" t="s">
        <v>1867</v>
      </c>
      <c r="D195" s="7" t="s">
        <v>1868</v>
      </c>
      <c r="E195" s="7" t="s">
        <v>1869</v>
      </c>
      <c r="F195" s="7" t="s">
        <v>1300</v>
      </c>
      <c r="G195" s="7" t="s">
        <v>1870</v>
      </c>
      <c r="H195" s="7" t="s">
        <v>703</v>
      </c>
    </row>
    <row r="196" spans="1:8" ht="15.75" customHeight="1">
      <c r="A196" s="7" t="s">
        <v>203</v>
      </c>
      <c r="B196" s="7" t="s">
        <v>1871</v>
      </c>
      <c r="C196" s="7" t="s">
        <v>1872</v>
      </c>
      <c r="D196" s="7" t="s">
        <v>1873</v>
      </c>
      <c r="E196" s="7" t="s">
        <v>1874</v>
      </c>
      <c r="F196" s="7" t="s">
        <v>1300</v>
      </c>
      <c r="G196" s="7" t="s">
        <v>1875</v>
      </c>
      <c r="H196" s="7" t="s">
        <v>703</v>
      </c>
    </row>
    <row r="197" spans="1:8" ht="15.75" customHeight="1">
      <c r="A197" s="7" t="s">
        <v>203</v>
      </c>
      <c r="B197" s="7" t="s">
        <v>1876</v>
      </c>
      <c r="C197" s="7" t="s">
        <v>1877</v>
      </c>
      <c r="D197" s="7" t="s">
        <v>1878</v>
      </c>
      <c r="E197" s="7" t="s">
        <v>1879</v>
      </c>
      <c r="F197" s="7" t="s">
        <v>1300</v>
      </c>
      <c r="G197" s="7" t="s">
        <v>1880</v>
      </c>
      <c r="H197" s="7" t="s">
        <v>703</v>
      </c>
    </row>
    <row r="198" spans="1:8" ht="15.75" customHeight="1">
      <c r="A198" s="7" t="s">
        <v>203</v>
      </c>
      <c r="B198" s="7" t="s">
        <v>1881</v>
      </c>
      <c r="C198" s="7" t="s">
        <v>1882</v>
      </c>
      <c r="D198" s="7" t="s">
        <v>1883</v>
      </c>
      <c r="E198" s="7" t="s">
        <v>1884</v>
      </c>
      <c r="F198" s="7" t="s">
        <v>703</v>
      </c>
      <c r="G198" s="7" t="s">
        <v>1885</v>
      </c>
      <c r="H198" s="7" t="s">
        <v>703</v>
      </c>
    </row>
    <row r="199" spans="1:8" ht="15.75" customHeight="1">
      <c r="A199" s="7" t="s">
        <v>203</v>
      </c>
      <c r="B199" s="7" t="s">
        <v>1886</v>
      </c>
      <c r="C199" s="7" t="s">
        <v>1887</v>
      </c>
      <c r="D199" s="7" t="s">
        <v>1888</v>
      </c>
      <c r="E199" s="7" t="s">
        <v>1889</v>
      </c>
      <c r="F199" s="7" t="s">
        <v>703</v>
      </c>
      <c r="G199" s="7" t="s">
        <v>1890</v>
      </c>
      <c r="H199" s="7" t="s">
        <v>703</v>
      </c>
    </row>
    <row r="200" spans="1:8" ht="15.75" customHeight="1">
      <c r="A200" s="7" t="s">
        <v>203</v>
      </c>
      <c r="B200" s="7" t="s">
        <v>708</v>
      </c>
      <c r="C200" s="7" t="s">
        <v>1891</v>
      </c>
      <c r="D200" s="7" t="s">
        <v>1892</v>
      </c>
      <c r="E200" s="7" t="s">
        <v>1893</v>
      </c>
      <c r="F200" s="7" t="s">
        <v>703</v>
      </c>
      <c r="G200" s="7" t="s">
        <v>1894</v>
      </c>
      <c r="H200" s="7" t="s">
        <v>703</v>
      </c>
    </row>
    <row r="201" spans="1:8" ht="15.75" customHeight="1">
      <c r="A201" s="7" t="s">
        <v>203</v>
      </c>
      <c r="B201" s="7" t="s">
        <v>1895</v>
      </c>
      <c r="C201" s="7" t="s">
        <v>1896</v>
      </c>
      <c r="D201" s="7" t="s">
        <v>1897</v>
      </c>
      <c r="E201" s="7" t="s">
        <v>1898</v>
      </c>
      <c r="F201" s="7" t="s">
        <v>1112</v>
      </c>
      <c r="G201" s="7" t="s">
        <v>1899</v>
      </c>
      <c r="H201" s="7" t="s">
        <v>703</v>
      </c>
    </row>
    <row r="202" spans="1:8" ht="15.75" customHeight="1">
      <c r="A202" s="7" t="s">
        <v>203</v>
      </c>
      <c r="B202" s="7" t="s">
        <v>1900</v>
      </c>
      <c r="C202" s="7" t="s">
        <v>1901</v>
      </c>
      <c r="D202" s="7" t="s">
        <v>1902</v>
      </c>
      <c r="E202" s="7" t="s">
        <v>1903</v>
      </c>
      <c r="F202" s="7" t="s">
        <v>703</v>
      </c>
      <c r="G202" s="7" t="s">
        <v>1904</v>
      </c>
      <c r="H202" s="7" t="s">
        <v>703</v>
      </c>
    </row>
    <row r="203" spans="1:8" ht="15.75" customHeight="1">
      <c r="A203" s="7" t="s">
        <v>203</v>
      </c>
      <c r="B203" s="7" t="s">
        <v>1905</v>
      </c>
      <c r="C203" s="7" t="s">
        <v>1906</v>
      </c>
      <c r="D203" s="7" t="s">
        <v>1907</v>
      </c>
      <c r="E203" s="7" t="s">
        <v>1908</v>
      </c>
      <c r="F203" s="7" t="s">
        <v>703</v>
      </c>
      <c r="G203" s="7" t="s">
        <v>1909</v>
      </c>
      <c r="H203" s="7" t="s">
        <v>703</v>
      </c>
    </row>
    <row r="204" spans="1:8" ht="15.75" customHeight="1">
      <c r="A204" s="7" t="s">
        <v>203</v>
      </c>
      <c r="B204" s="7" t="s">
        <v>1910</v>
      </c>
      <c r="C204" s="7" t="s">
        <v>1911</v>
      </c>
      <c r="D204" s="7" t="s">
        <v>1912</v>
      </c>
      <c r="E204" s="7" t="s">
        <v>1913</v>
      </c>
      <c r="F204" s="7" t="s">
        <v>703</v>
      </c>
      <c r="G204" s="7" t="s">
        <v>1914</v>
      </c>
      <c r="H204" s="7" t="s">
        <v>703</v>
      </c>
    </row>
    <row r="205" spans="1:8" ht="15.75" customHeight="1">
      <c r="A205" s="7" t="s">
        <v>203</v>
      </c>
      <c r="B205" s="7" t="s">
        <v>1915</v>
      </c>
      <c r="C205" s="7" t="s">
        <v>1916</v>
      </c>
      <c r="D205" s="7" t="s">
        <v>1917</v>
      </c>
      <c r="E205" s="7" t="s">
        <v>1918</v>
      </c>
      <c r="F205" s="7" t="s">
        <v>703</v>
      </c>
      <c r="G205" s="7" t="s">
        <v>1914</v>
      </c>
      <c r="H205" s="7" t="s">
        <v>703</v>
      </c>
    </row>
    <row r="206" spans="1:8" ht="15.75" customHeight="1">
      <c r="A206" s="7" t="s">
        <v>203</v>
      </c>
      <c r="B206" s="7" t="s">
        <v>1919</v>
      </c>
      <c r="C206" s="7" t="s">
        <v>1920</v>
      </c>
      <c r="D206" s="7" t="s">
        <v>1921</v>
      </c>
      <c r="E206" s="7" t="s">
        <v>1922</v>
      </c>
      <c r="F206" s="7" t="s">
        <v>703</v>
      </c>
      <c r="G206" s="7" t="s">
        <v>1923</v>
      </c>
      <c r="H206" s="7" t="s">
        <v>703</v>
      </c>
    </row>
    <row r="207" spans="1:8" ht="15.75" customHeight="1">
      <c r="A207" s="7" t="s">
        <v>203</v>
      </c>
      <c r="B207" s="7" t="s">
        <v>1924</v>
      </c>
      <c r="C207" s="7" t="s">
        <v>1925</v>
      </c>
      <c r="D207" s="7" t="s">
        <v>1926</v>
      </c>
      <c r="E207" s="7" t="s">
        <v>1927</v>
      </c>
      <c r="F207" s="7" t="s">
        <v>1112</v>
      </c>
      <c r="G207" s="7" t="s">
        <v>1928</v>
      </c>
      <c r="H207" s="7" t="s">
        <v>703</v>
      </c>
    </row>
    <row r="208" spans="1:8" ht="15.75" customHeight="1">
      <c r="A208" s="7" t="s">
        <v>203</v>
      </c>
      <c r="B208" s="7" t="s">
        <v>1929</v>
      </c>
      <c r="C208" s="7" t="s">
        <v>1930</v>
      </c>
      <c r="D208" s="7" t="s">
        <v>1931</v>
      </c>
      <c r="E208" s="7" t="s">
        <v>1932</v>
      </c>
      <c r="F208" s="7" t="s">
        <v>703</v>
      </c>
      <c r="G208" s="7" t="s">
        <v>1933</v>
      </c>
      <c r="H208" s="7" t="s">
        <v>703</v>
      </c>
    </row>
    <row r="209" spans="1:8" ht="15.75" customHeight="1">
      <c r="A209" s="7" t="s">
        <v>203</v>
      </c>
      <c r="B209" s="7" t="s">
        <v>1934</v>
      </c>
      <c r="C209" s="7" t="s">
        <v>1935</v>
      </c>
      <c r="D209" s="7" t="s">
        <v>1936</v>
      </c>
      <c r="E209" s="7" t="s">
        <v>1937</v>
      </c>
      <c r="F209" s="7" t="s">
        <v>1112</v>
      </c>
      <c r="G209" s="7" t="s">
        <v>1938</v>
      </c>
      <c r="H209" s="7" t="s">
        <v>703</v>
      </c>
    </row>
    <row r="210" spans="1:8" ht="15.75" customHeight="1">
      <c r="A210" s="7" t="s">
        <v>203</v>
      </c>
      <c r="B210" s="7" t="s">
        <v>1939</v>
      </c>
      <c r="C210" s="7" t="s">
        <v>1940</v>
      </c>
      <c r="D210" s="7" t="s">
        <v>1941</v>
      </c>
      <c r="E210" s="7" t="s">
        <v>1942</v>
      </c>
      <c r="F210" s="7" t="s">
        <v>1112</v>
      </c>
      <c r="G210" s="7" t="s">
        <v>1943</v>
      </c>
      <c r="H210" s="7" t="s">
        <v>703</v>
      </c>
    </row>
    <row r="211" spans="1:8" ht="15.75" customHeight="1">
      <c r="A211" s="7" t="s">
        <v>203</v>
      </c>
      <c r="B211" s="7" t="s">
        <v>1944</v>
      </c>
      <c r="C211" s="7" t="s">
        <v>1945</v>
      </c>
      <c r="D211" s="7" t="s">
        <v>1946</v>
      </c>
      <c r="E211" s="7" t="s">
        <v>1947</v>
      </c>
      <c r="F211" s="7" t="s">
        <v>703</v>
      </c>
      <c r="G211" s="7" t="s">
        <v>1943</v>
      </c>
      <c r="H211" s="7" t="s">
        <v>703</v>
      </c>
    </row>
    <row r="212" spans="1:8" ht="15.75" customHeight="1">
      <c r="A212" s="7" t="s">
        <v>203</v>
      </c>
      <c r="B212" s="7" t="s">
        <v>1948</v>
      </c>
      <c r="C212" s="7" t="s">
        <v>1949</v>
      </c>
      <c r="D212" s="7" t="s">
        <v>1950</v>
      </c>
      <c r="E212" s="7" t="s">
        <v>1951</v>
      </c>
      <c r="F212" s="7" t="s">
        <v>703</v>
      </c>
      <c r="G212" s="7" t="s">
        <v>1952</v>
      </c>
      <c r="H212" s="7" t="s">
        <v>703</v>
      </c>
    </row>
    <row r="213" spans="1:8" ht="15.75" customHeight="1">
      <c r="A213" s="7" t="s">
        <v>203</v>
      </c>
      <c r="B213" s="7" t="s">
        <v>1953</v>
      </c>
      <c r="C213" s="7" t="s">
        <v>1954</v>
      </c>
      <c r="D213" s="7" t="s">
        <v>1955</v>
      </c>
      <c r="E213" s="7" t="s">
        <v>1956</v>
      </c>
      <c r="F213" s="7" t="s">
        <v>703</v>
      </c>
      <c r="G213" s="7" t="s">
        <v>1957</v>
      </c>
      <c r="H213" s="7" t="s">
        <v>703</v>
      </c>
    </row>
    <row r="214" spans="1:8" ht="15.75" customHeight="1">
      <c r="A214" s="7" t="s">
        <v>203</v>
      </c>
      <c r="B214" s="7" t="s">
        <v>1958</v>
      </c>
      <c r="C214" s="7" t="s">
        <v>1959</v>
      </c>
      <c r="D214" s="7" t="s">
        <v>1960</v>
      </c>
      <c r="E214" s="7" t="s">
        <v>1961</v>
      </c>
      <c r="F214" s="7" t="s">
        <v>703</v>
      </c>
      <c r="G214" s="7" t="s">
        <v>1962</v>
      </c>
      <c r="H214" s="7" t="s">
        <v>703</v>
      </c>
    </row>
    <row r="215" spans="1:8" ht="15.75" customHeight="1"/>
    <row r="216" spans="1:8" ht="15.75" customHeight="1"/>
    <row r="217" spans="1:8" ht="15.75" customHeight="1"/>
    <row r="218" spans="1:8" ht="15.75" customHeight="1"/>
    <row r="219" spans="1:8" ht="15.75" customHeight="1"/>
    <row r="220" spans="1:8" ht="15.75" customHeight="1"/>
    <row r="221" spans="1:8" ht="15.75" customHeight="1"/>
    <row r="222" spans="1:8" ht="15.75" customHeight="1"/>
    <row r="223" spans="1:8" ht="15.75" customHeight="1"/>
    <row r="224" spans="1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/>
  <cols>
    <col min="1" max="1" width="28" customWidth="1"/>
    <col min="2" max="2" width="90" customWidth="1"/>
    <col min="3" max="26" width="8.7109375" customWidth="1"/>
  </cols>
  <sheetData>
    <row r="1" spans="1:2" ht="24" customHeight="1">
      <c r="A1" s="155" t="s">
        <v>466</v>
      </c>
      <c r="B1" s="156"/>
    </row>
    <row r="2" spans="1:2">
      <c r="A2" s="56"/>
      <c r="B2" s="57"/>
    </row>
    <row r="3" spans="1:2" ht="15" customHeight="1">
      <c r="A3" s="167" t="s">
        <v>467</v>
      </c>
      <c r="B3" s="168"/>
    </row>
    <row r="4" spans="1:2" ht="39.75" customHeight="1">
      <c r="A4" s="91" t="s">
        <v>468</v>
      </c>
      <c r="B4" s="84" t="s">
        <v>469</v>
      </c>
    </row>
    <row r="5" spans="1:2" ht="39.75" customHeight="1">
      <c r="A5" s="91" t="s">
        <v>470</v>
      </c>
      <c r="B5" s="84" t="s">
        <v>471</v>
      </c>
    </row>
    <row r="6" spans="1:2" ht="39.75" customHeight="1">
      <c r="A6" s="91" t="s">
        <v>472</v>
      </c>
      <c r="B6" s="84" t="s">
        <v>473</v>
      </c>
    </row>
    <row r="7" spans="1:2" ht="39.75" customHeight="1">
      <c r="A7" s="56"/>
      <c r="B7" s="57"/>
    </row>
    <row r="8" spans="1:2" ht="39.75" customHeight="1">
      <c r="A8" s="167" t="s">
        <v>474</v>
      </c>
      <c r="B8" s="168"/>
    </row>
    <row r="9" spans="1:2" ht="39.75" customHeight="1">
      <c r="A9" s="91" t="s">
        <v>475</v>
      </c>
      <c r="B9" s="84" t="s">
        <v>476</v>
      </c>
    </row>
    <row r="10" spans="1:2" ht="39.75" customHeight="1">
      <c r="A10" s="91" t="s">
        <v>477</v>
      </c>
      <c r="B10" s="84" t="s">
        <v>478</v>
      </c>
    </row>
    <row r="11" spans="1:2" ht="39.75" customHeight="1">
      <c r="A11" s="91" t="s">
        <v>363</v>
      </c>
      <c r="B11" s="84" t="s">
        <v>479</v>
      </c>
    </row>
    <row r="12" spans="1:2" ht="39.75" customHeight="1">
      <c r="A12" s="91" t="s">
        <v>480</v>
      </c>
      <c r="B12" s="84" t="s">
        <v>481</v>
      </c>
    </row>
    <row r="13" spans="1:2" ht="39.75" customHeight="1">
      <c r="A13" s="93" t="s">
        <v>482</v>
      </c>
      <c r="B13" s="90" t="s">
        <v>483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3:B3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2578125" defaultRowHeight="15"/>
  <cols>
    <col min="1" max="1" width="24" customWidth="1"/>
    <col min="2" max="2" width="18" customWidth="1"/>
    <col min="3" max="3" width="60" customWidth="1"/>
    <col min="4" max="26" width="8.7109375" customWidth="1"/>
  </cols>
  <sheetData>
    <row r="1" spans="1:3" ht="24" customHeight="1">
      <c r="A1" s="161" t="s">
        <v>15</v>
      </c>
      <c r="B1" s="162"/>
      <c r="C1" s="163"/>
    </row>
    <row r="2" spans="1:3">
      <c r="A2" s="56"/>
      <c r="B2" s="44"/>
      <c r="C2" s="57"/>
    </row>
    <row r="3" spans="1:3" ht="15" customHeight="1">
      <c r="A3" s="109" t="s">
        <v>484</v>
      </c>
      <c r="B3" s="110" t="s">
        <v>44</v>
      </c>
      <c r="C3" s="111" t="s">
        <v>485</v>
      </c>
    </row>
    <row r="4" spans="1:3" ht="49.5" customHeight="1">
      <c r="A4" s="91" t="s">
        <v>486</v>
      </c>
      <c r="B4" s="1" t="s">
        <v>487</v>
      </c>
      <c r="C4" s="84" t="s">
        <v>488</v>
      </c>
    </row>
    <row r="5" spans="1:3" ht="49.5" customHeight="1">
      <c r="A5" s="92" t="s">
        <v>489</v>
      </c>
      <c r="B5" s="3" t="s">
        <v>487</v>
      </c>
      <c r="C5" s="86" t="s">
        <v>490</v>
      </c>
    </row>
    <row r="6" spans="1:3" ht="49.5" customHeight="1">
      <c r="A6" s="91" t="s">
        <v>491</v>
      </c>
      <c r="B6" s="1" t="s">
        <v>492</v>
      </c>
      <c r="C6" s="84" t="s">
        <v>493</v>
      </c>
    </row>
    <row r="7" spans="1:3" ht="49.5" customHeight="1">
      <c r="A7" s="92" t="s">
        <v>250</v>
      </c>
      <c r="B7" s="3" t="s">
        <v>492</v>
      </c>
      <c r="C7" s="86" t="s">
        <v>494</v>
      </c>
    </row>
    <row r="8" spans="1:3" ht="49.5" customHeight="1">
      <c r="A8" s="91" t="s">
        <v>495</v>
      </c>
      <c r="B8" s="1" t="s">
        <v>492</v>
      </c>
      <c r="C8" s="84" t="s">
        <v>496</v>
      </c>
    </row>
    <row r="9" spans="1:3" ht="49.5" customHeight="1">
      <c r="A9" s="92" t="s">
        <v>248</v>
      </c>
      <c r="B9" s="3" t="s">
        <v>497</v>
      </c>
      <c r="C9" s="86" t="s">
        <v>498</v>
      </c>
    </row>
    <row r="10" spans="1:3" ht="49.5" customHeight="1">
      <c r="A10" s="91" t="s">
        <v>257</v>
      </c>
      <c r="B10" s="1" t="s">
        <v>497</v>
      </c>
      <c r="C10" s="84" t="s">
        <v>499</v>
      </c>
    </row>
    <row r="11" spans="1:3" ht="49.5" customHeight="1">
      <c r="A11" s="92" t="s">
        <v>500</v>
      </c>
      <c r="B11" s="3" t="s">
        <v>497</v>
      </c>
      <c r="C11" s="86" t="s">
        <v>501</v>
      </c>
    </row>
    <row r="12" spans="1:3" ht="49.5" customHeight="1">
      <c r="A12" s="91" t="s">
        <v>256</v>
      </c>
      <c r="B12" s="1" t="s">
        <v>497</v>
      </c>
      <c r="C12" s="84" t="s">
        <v>502</v>
      </c>
    </row>
    <row r="13" spans="1:3" ht="49.5" customHeight="1">
      <c r="A13" s="92" t="s">
        <v>249</v>
      </c>
      <c r="B13" s="3" t="s">
        <v>497</v>
      </c>
      <c r="C13" s="86" t="s">
        <v>503</v>
      </c>
    </row>
    <row r="14" spans="1:3" ht="49.5" customHeight="1">
      <c r="A14" s="91" t="s">
        <v>255</v>
      </c>
      <c r="B14" s="1" t="s">
        <v>504</v>
      </c>
      <c r="C14" s="84" t="s">
        <v>505</v>
      </c>
    </row>
    <row r="15" spans="1:3" ht="49.5" customHeight="1">
      <c r="A15" s="92" t="s">
        <v>258</v>
      </c>
      <c r="B15" s="3" t="s">
        <v>492</v>
      </c>
      <c r="C15" s="86" t="s">
        <v>506</v>
      </c>
    </row>
    <row r="16" spans="1:3" ht="49.5" customHeight="1">
      <c r="A16" s="91" t="s">
        <v>262</v>
      </c>
      <c r="B16" s="1" t="s">
        <v>504</v>
      </c>
      <c r="C16" s="84" t="s">
        <v>507</v>
      </c>
    </row>
    <row r="17" spans="1:3">
      <c r="A17" s="56"/>
      <c r="B17" s="44"/>
      <c r="C17" s="57"/>
    </row>
    <row r="18" spans="1:3">
      <c r="A18" s="56"/>
      <c r="B18" s="44"/>
      <c r="C18" s="57"/>
    </row>
    <row r="19" spans="1:3" ht="15" customHeight="1">
      <c r="A19" s="167" t="s">
        <v>508</v>
      </c>
      <c r="B19" s="169"/>
      <c r="C19" s="168"/>
    </row>
    <row r="20" spans="1:3" ht="15" customHeight="1">
      <c r="A20" s="91" t="s">
        <v>509</v>
      </c>
      <c r="B20" s="170" t="s">
        <v>510</v>
      </c>
      <c r="C20" s="171"/>
    </row>
    <row r="21" spans="1:3" ht="15" customHeight="1">
      <c r="A21" s="91" t="s">
        <v>511</v>
      </c>
      <c r="B21" s="170" t="s">
        <v>512</v>
      </c>
      <c r="C21" s="171"/>
    </row>
    <row r="22" spans="1:3" ht="15" customHeight="1">
      <c r="A22" s="91" t="s">
        <v>182</v>
      </c>
      <c r="B22" s="170" t="s">
        <v>513</v>
      </c>
      <c r="C22" s="171"/>
    </row>
    <row r="23" spans="1:3" ht="15.75" customHeight="1">
      <c r="A23" s="56"/>
      <c r="B23" s="44"/>
      <c r="C23" s="57"/>
    </row>
    <row r="24" spans="1:3" ht="15.75" customHeight="1">
      <c r="A24" s="56"/>
      <c r="B24" s="44"/>
      <c r="C24" s="57"/>
    </row>
    <row r="25" spans="1:3" ht="21.75" customHeight="1">
      <c r="A25" s="172" t="s">
        <v>514</v>
      </c>
      <c r="B25" s="169"/>
      <c r="C25" s="168"/>
    </row>
    <row r="26" spans="1:3" ht="39.75" customHeight="1">
      <c r="A26" s="91" t="s">
        <v>515</v>
      </c>
      <c r="B26" s="1" t="s">
        <v>516</v>
      </c>
      <c r="C26" s="84" t="s">
        <v>517</v>
      </c>
    </row>
    <row r="27" spans="1:3" ht="39.75" customHeight="1">
      <c r="A27" s="92" t="s">
        <v>518</v>
      </c>
      <c r="B27" s="3" t="s">
        <v>519</v>
      </c>
      <c r="C27" s="86" t="s">
        <v>520</v>
      </c>
    </row>
    <row r="28" spans="1:3" ht="39.75" customHeight="1">
      <c r="A28" s="91" t="s">
        <v>521</v>
      </c>
      <c r="B28" s="1" t="s">
        <v>522</v>
      </c>
      <c r="C28" s="84" t="s">
        <v>523</v>
      </c>
    </row>
    <row r="29" spans="1:3" ht="39.75" customHeight="1">
      <c r="A29" s="92" t="s">
        <v>524</v>
      </c>
      <c r="B29" s="3" t="s">
        <v>525</v>
      </c>
      <c r="C29" s="86" t="s">
        <v>526</v>
      </c>
    </row>
    <row r="30" spans="1:3" ht="39.75" customHeight="1">
      <c r="A30" s="91" t="s">
        <v>527</v>
      </c>
      <c r="B30" s="1" t="s">
        <v>528</v>
      </c>
      <c r="C30" s="84" t="s">
        <v>529</v>
      </c>
    </row>
    <row r="31" spans="1:3" ht="39.75" customHeight="1">
      <c r="A31" s="92" t="s">
        <v>530</v>
      </c>
      <c r="B31" s="3" t="s">
        <v>531</v>
      </c>
      <c r="C31" s="86" t="s">
        <v>532</v>
      </c>
    </row>
    <row r="32" spans="1:3" ht="39.75" customHeight="1">
      <c r="A32" s="91" t="s">
        <v>533</v>
      </c>
      <c r="B32" s="1" t="s">
        <v>534</v>
      </c>
      <c r="C32" s="84" t="s">
        <v>535</v>
      </c>
    </row>
    <row r="33" spans="1:3" ht="39.75" customHeight="1">
      <c r="A33" s="92" t="s">
        <v>536</v>
      </c>
      <c r="B33" s="3" t="s">
        <v>537</v>
      </c>
      <c r="C33" s="86" t="s">
        <v>538</v>
      </c>
    </row>
    <row r="34" spans="1:3" ht="39.75" customHeight="1">
      <c r="A34" s="91" t="s">
        <v>539</v>
      </c>
      <c r="B34" s="1" t="s">
        <v>540</v>
      </c>
      <c r="C34" s="84" t="s">
        <v>541</v>
      </c>
    </row>
    <row r="35" spans="1:3" ht="39.75" customHeight="1">
      <c r="A35" s="92" t="s">
        <v>542</v>
      </c>
      <c r="B35" s="3" t="s">
        <v>543</v>
      </c>
      <c r="C35" s="86" t="s">
        <v>544</v>
      </c>
    </row>
    <row r="36" spans="1:3" ht="39.75" customHeight="1">
      <c r="A36" s="91" t="s">
        <v>545</v>
      </c>
      <c r="B36" s="1" t="s">
        <v>546</v>
      </c>
      <c r="C36" s="84" t="s">
        <v>547</v>
      </c>
    </row>
    <row r="37" spans="1:3" ht="15.75" customHeight="1">
      <c r="A37" s="56"/>
      <c r="B37" s="44"/>
      <c r="C37" s="57"/>
    </row>
    <row r="38" spans="1:3" ht="15" customHeight="1">
      <c r="A38" s="167" t="s">
        <v>548</v>
      </c>
      <c r="B38" s="169"/>
      <c r="C38" s="168"/>
    </row>
    <row r="39" spans="1:3" ht="45" customHeight="1">
      <c r="A39" s="91" t="s">
        <v>370</v>
      </c>
      <c r="B39" s="1" t="s">
        <v>549</v>
      </c>
      <c r="C39" s="84" t="s">
        <v>550</v>
      </c>
    </row>
    <row r="40" spans="1:3" ht="45" customHeight="1">
      <c r="A40" s="92" t="s">
        <v>369</v>
      </c>
      <c r="B40" s="3" t="s">
        <v>551</v>
      </c>
      <c r="C40" s="86" t="s">
        <v>552</v>
      </c>
    </row>
    <row r="41" spans="1:3" ht="15.75" customHeight="1">
      <c r="A41" s="56"/>
      <c r="B41" s="44"/>
      <c r="C41" s="57"/>
    </row>
    <row r="42" spans="1:3" ht="15.75" customHeight="1">
      <c r="A42" s="56"/>
      <c r="B42" s="44"/>
      <c r="C42" s="57"/>
    </row>
    <row r="43" spans="1:3" ht="21.75" customHeight="1">
      <c r="A43" s="172" t="s">
        <v>553</v>
      </c>
      <c r="B43" s="169"/>
      <c r="C43" s="168"/>
    </row>
    <row r="44" spans="1:3" ht="39.75" customHeight="1">
      <c r="A44" s="91" t="s">
        <v>45</v>
      </c>
      <c r="B44" s="1" t="s">
        <v>554</v>
      </c>
      <c r="C44" s="84" t="s">
        <v>555</v>
      </c>
    </row>
    <row r="45" spans="1:3" ht="39.75" customHeight="1">
      <c r="A45" s="92" t="s">
        <v>556</v>
      </c>
      <c r="B45" s="3" t="s">
        <v>557</v>
      </c>
      <c r="C45" s="86" t="s">
        <v>558</v>
      </c>
    </row>
    <row r="46" spans="1:3" ht="39.75" customHeight="1">
      <c r="A46" s="91" t="s">
        <v>559</v>
      </c>
      <c r="B46" s="1" t="s">
        <v>560</v>
      </c>
      <c r="C46" s="84" t="s">
        <v>561</v>
      </c>
    </row>
    <row r="47" spans="1:3" ht="39.75" customHeight="1">
      <c r="A47" s="92" t="s">
        <v>562</v>
      </c>
      <c r="B47" s="3" t="s">
        <v>563</v>
      </c>
      <c r="C47" s="86" t="s">
        <v>564</v>
      </c>
    </row>
    <row r="48" spans="1:3" ht="39.75" customHeight="1">
      <c r="A48" s="91" t="s">
        <v>565</v>
      </c>
      <c r="B48" s="1" t="s">
        <v>566</v>
      </c>
      <c r="C48" s="84" t="s">
        <v>567</v>
      </c>
    </row>
    <row r="49" spans="1:3" ht="39.75" customHeight="1">
      <c r="A49" s="99" t="s">
        <v>542</v>
      </c>
      <c r="B49" s="100" t="s">
        <v>568</v>
      </c>
      <c r="C49" s="101" t="s">
        <v>569</v>
      </c>
    </row>
    <row r="50" spans="1:3" ht="15.75" customHeight="1"/>
    <row r="51" spans="1:3" ht="15.75" customHeight="1"/>
    <row r="52" spans="1:3" ht="15.75" customHeight="1"/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5:C25"/>
    <mergeCell ref="A38:C38"/>
    <mergeCell ref="A43:C43"/>
    <mergeCell ref="A1:C1"/>
    <mergeCell ref="A19:C19"/>
    <mergeCell ref="B20:C20"/>
    <mergeCell ref="B21:C21"/>
    <mergeCell ref="B22:C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/>
  </sheetViews>
  <sheetFormatPr defaultColWidth="14.42578125" defaultRowHeight="15"/>
  <cols>
    <col min="1" max="1" width="24" customWidth="1"/>
    <col min="2" max="2" width="16" customWidth="1"/>
    <col min="3" max="3" width="4" customWidth="1"/>
    <col min="4" max="4" width="28" customWidth="1"/>
    <col min="5" max="5" width="18" customWidth="1"/>
    <col min="6" max="6" width="4" customWidth="1"/>
    <col min="7" max="7" width="42" customWidth="1"/>
    <col min="8" max="8" width="8" customWidth="1"/>
    <col min="9" max="11" width="14" customWidth="1"/>
    <col min="12" max="26" width="8.7109375" customWidth="1"/>
  </cols>
  <sheetData>
    <row r="1" spans="1:11" ht="32.1" customHeight="1">
      <c r="A1" s="188" t="s">
        <v>1963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1" ht="24" customHeight="1">
      <c r="A2" s="189" t="s">
        <v>1964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15" customHeight="1">
      <c r="A3" s="175"/>
      <c r="B3" s="175"/>
      <c r="C3" s="175"/>
      <c r="D3" s="175"/>
      <c r="E3" s="5"/>
      <c r="F3" s="5"/>
      <c r="G3" s="5"/>
      <c r="H3" s="5"/>
      <c r="I3" s="5"/>
      <c r="J3" s="5"/>
      <c r="K3" s="5"/>
    </row>
    <row r="4" spans="1:11" ht="90">
      <c r="A4" s="117" t="s">
        <v>1965</v>
      </c>
      <c r="B4" s="118" t="s">
        <v>1966</v>
      </c>
      <c r="C4" s="119"/>
      <c r="D4" s="120" t="s">
        <v>1967</v>
      </c>
      <c r="E4" s="119"/>
      <c r="F4" s="121" t="s">
        <v>1968</v>
      </c>
      <c r="G4" s="119"/>
      <c r="H4" s="119" t="s">
        <v>1969</v>
      </c>
      <c r="I4" s="119"/>
      <c r="J4" s="119"/>
      <c r="K4" s="122"/>
    </row>
    <row r="5" spans="1:11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>
      <c r="A6" s="186" t="s">
        <v>1970</v>
      </c>
      <c r="B6" s="186"/>
      <c r="C6" s="186"/>
      <c r="D6" s="186"/>
      <c r="E6" s="186"/>
      <c r="F6" s="5"/>
      <c r="G6" s="187" t="s">
        <v>1971</v>
      </c>
      <c r="H6" s="187"/>
      <c r="I6" s="187"/>
      <c r="J6" s="187"/>
      <c r="K6" s="187"/>
    </row>
    <row r="7" spans="1:11" ht="15" customHeight="1">
      <c r="A7" s="8" t="s">
        <v>1972</v>
      </c>
      <c r="B7" s="9" t="s">
        <v>1973</v>
      </c>
      <c r="C7" s="5"/>
      <c r="D7" s="10" t="s">
        <v>1974</v>
      </c>
      <c r="E7" s="11" t="s">
        <v>1975</v>
      </c>
      <c r="F7" s="5"/>
      <c r="G7" s="5"/>
      <c r="H7" s="5"/>
      <c r="I7" s="5"/>
      <c r="J7" s="5"/>
      <c r="K7" s="5"/>
    </row>
    <row r="8" spans="1:11" ht="15" customHeight="1">
      <c r="A8" s="12" t="s">
        <v>1976</v>
      </c>
      <c r="B8" s="26">
        <v>209588</v>
      </c>
      <c r="C8" s="5"/>
      <c r="D8" s="12" t="s">
        <v>1977</v>
      </c>
      <c r="E8" s="28">
        <f>$B$8*$B$9</f>
        <v>9431.4599999999991</v>
      </c>
      <c r="F8" s="5"/>
      <c r="G8" s="8" t="s">
        <v>1978</v>
      </c>
      <c r="H8" s="9" t="s">
        <v>1979</v>
      </c>
      <c r="I8" s="5"/>
      <c r="J8" s="5"/>
      <c r="K8" s="5"/>
    </row>
    <row r="9" spans="1:11">
      <c r="A9" s="13" t="s">
        <v>1980</v>
      </c>
      <c r="B9" s="36">
        <v>4.4999999999999998E-2</v>
      </c>
      <c r="C9" s="5"/>
      <c r="D9" s="13" t="s">
        <v>1981</v>
      </c>
      <c r="E9" s="29">
        <f>$E$8/12</f>
        <v>785.95499999999993</v>
      </c>
      <c r="F9" s="5"/>
      <c r="G9" s="12" t="s">
        <v>1982</v>
      </c>
      <c r="H9" s="33">
        <f>$E$9</f>
        <v>785.95499999999993</v>
      </c>
      <c r="I9" s="5"/>
      <c r="J9" s="5"/>
      <c r="K9" s="5"/>
    </row>
    <row r="10" spans="1:11" ht="15" customHeight="1">
      <c r="A10" s="14" t="s">
        <v>1983</v>
      </c>
      <c r="B10" s="27">
        <v>1064.04</v>
      </c>
      <c r="C10" s="5"/>
      <c r="D10" s="13" t="s">
        <v>1984</v>
      </c>
      <c r="E10" s="29">
        <f>$B$10-$E$9</f>
        <v>278.08500000000004</v>
      </c>
      <c r="F10" s="5"/>
      <c r="G10" s="14" t="s">
        <v>1985</v>
      </c>
      <c r="H10" s="34">
        <f>$E$10</f>
        <v>278.08500000000004</v>
      </c>
      <c r="I10" s="5"/>
      <c r="J10" s="5"/>
      <c r="K10" s="5"/>
    </row>
    <row r="11" spans="1:11" ht="15" customHeight="1">
      <c r="A11" s="5"/>
      <c r="B11" s="5"/>
      <c r="C11" s="5"/>
      <c r="D11" s="13" t="s">
        <v>1986</v>
      </c>
      <c r="E11" s="29">
        <f>$B$8-$E$10</f>
        <v>209309.91500000001</v>
      </c>
      <c r="F11" s="5"/>
      <c r="G11" s="5"/>
      <c r="H11" s="5"/>
      <c r="I11" s="5"/>
      <c r="J11" s="5"/>
      <c r="K11" s="5"/>
    </row>
    <row r="12" spans="1:11" ht="15" customHeight="1">
      <c r="A12" s="5"/>
      <c r="B12" s="5"/>
      <c r="C12" s="5"/>
      <c r="D12" s="14" t="s">
        <v>1987</v>
      </c>
      <c r="E12" s="30">
        <f>$E$9+$E$10</f>
        <v>1064.04</v>
      </c>
      <c r="F12" s="5"/>
      <c r="G12" s="5"/>
      <c r="H12" s="5"/>
      <c r="I12" s="5"/>
      <c r="J12" s="5"/>
      <c r="K12" s="5"/>
    </row>
    <row r="13" spans="1:11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5.75">
      <c r="A15" s="186" t="s">
        <v>1988</v>
      </c>
      <c r="B15" s="186"/>
      <c r="C15" s="186"/>
      <c r="D15" s="186"/>
      <c r="E15" s="186"/>
      <c r="F15" s="5"/>
      <c r="G15" s="5"/>
      <c r="H15" s="5"/>
      <c r="I15" s="5"/>
      <c r="J15" s="5"/>
      <c r="K15" s="5"/>
    </row>
    <row r="16" spans="1:11">
      <c r="A16" s="8" t="s">
        <v>1972</v>
      </c>
      <c r="B16" s="9" t="s">
        <v>1973</v>
      </c>
      <c r="C16" s="5"/>
      <c r="D16" s="10" t="s">
        <v>1974</v>
      </c>
      <c r="E16" s="11" t="s">
        <v>1975</v>
      </c>
      <c r="F16" s="5"/>
      <c r="G16" s="5"/>
      <c r="H16" s="5"/>
      <c r="I16" s="5"/>
      <c r="J16" s="5"/>
      <c r="K16" s="5"/>
    </row>
    <row r="17" spans="1:11" ht="15" customHeight="1">
      <c r="A17" s="181" t="s">
        <v>1989</v>
      </c>
      <c r="B17" s="182">
        <v>155000</v>
      </c>
      <c r="C17" s="175"/>
      <c r="D17" s="181" t="s">
        <v>1990</v>
      </c>
      <c r="E17" s="28">
        <f>$B$17*$B$18</f>
        <v>3875</v>
      </c>
      <c r="F17" s="5"/>
      <c r="G17" s="5"/>
      <c r="H17" s="5"/>
      <c r="I17" s="5"/>
      <c r="J17" s="5"/>
      <c r="K17" s="5"/>
    </row>
    <row r="18" spans="1:11" ht="15" customHeight="1">
      <c r="A18" s="183" t="s">
        <v>1991</v>
      </c>
      <c r="B18" s="184">
        <v>2.5000000000000001E-2</v>
      </c>
      <c r="C18" s="175"/>
      <c r="D18" s="177" t="s">
        <v>1992</v>
      </c>
      <c r="E18" s="29">
        <f>$B$17*1%</f>
        <v>1550</v>
      </c>
      <c r="F18" s="5"/>
      <c r="G18" s="5"/>
      <c r="H18" s="5"/>
      <c r="I18" s="5"/>
      <c r="J18" s="5"/>
      <c r="K18" s="5"/>
    </row>
    <row r="19" spans="1:11" ht="38.25">
      <c r="A19" s="5"/>
      <c r="B19" s="5"/>
      <c r="C19" s="5"/>
      <c r="D19" s="14" t="s">
        <v>1993</v>
      </c>
      <c r="E19" s="18" t="s">
        <v>1994</v>
      </c>
      <c r="F19" s="5"/>
      <c r="G19" s="5"/>
      <c r="H19" s="5"/>
      <c r="I19" s="5"/>
      <c r="J19" s="5"/>
      <c r="K19" s="5"/>
    </row>
    <row r="20" spans="1:11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5" customHeight="1">
      <c r="A22" s="186" t="s">
        <v>1995</v>
      </c>
      <c r="B22" s="186"/>
      <c r="C22" s="186"/>
      <c r="D22" s="186"/>
      <c r="E22" s="186"/>
      <c r="F22" s="5"/>
      <c r="G22" s="5"/>
      <c r="H22" s="5"/>
      <c r="I22" s="5"/>
      <c r="J22" s="5"/>
      <c r="K22" s="5"/>
    </row>
    <row r="23" spans="1:11" ht="15.75" customHeight="1">
      <c r="A23" s="8" t="s">
        <v>1996</v>
      </c>
      <c r="B23" s="9" t="s">
        <v>1973</v>
      </c>
      <c r="C23" s="5"/>
      <c r="D23" s="10" t="s">
        <v>1997</v>
      </c>
      <c r="E23" s="11" t="s">
        <v>1975</v>
      </c>
      <c r="F23" s="5"/>
      <c r="G23" s="5"/>
      <c r="H23" s="5"/>
      <c r="I23" s="5"/>
      <c r="J23" s="5"/>
      <c r="K23" s="5"/>
    </row>
    <row r="24" spans="1:11" ht="15" customHeight="1">
      <c r="A24" s="12" t="s">
        <v>1998</v>
      </c>
      <c r="B24" s="26">
        <v>4000</v>
      </c>
      <c r="C24" s="5"/>
      <c r="D24" s="20" t="s">
        <v>1999</v>
      </c>
      <c r="E24" s="31">
        <f>$B$24*(1+$B$25)^$B$26</f>
        <v>4525.6328515624982</v>
      </c>
      <c r="F24" s="5"/>
      <c r="G24" s="5"/>
      <c r="H24" s="5"/>
      <c r="I24" s="5"/>
      <c r="J24" s="5"/>
      <c r="K24" s="5"/>
    </row>
    <row r="25" spans="1:11" ht="15.75" customHeight="1">
      <c r="A25" s="13" t="s">
        <v>2000</v>
      </c>
      <c r="B25" s="36">
        <v>2.5000000000000001E-2</v>
      </c>
      <c r="C25" s="5"/>
      <c r="D25" s="5"/>
      <c r="E25" s="5"/>
      <c r="F25" s="5"/>
      <c r="G25" s="5"/>
      <c r="H25" s="5"/>
      <c r="I25" s="5"/>
      <c r="J25" s="5"/>
      <c r="K25" s="5"/>
    </row>
    <row r="26" spans="1:11" ht="15.75" customHeight="1">
      <c r="A26" s="14" t="s">
        <v>2001</v>
      </c>
      <c r="B26" s="39">
        <v>5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 ht="15" customHeight="1">
      <c r="A27" s="175"/>
      <c r="B27" s="175"/>
      <c r="C27" s="175"/>
      <c r="D27" s="175"/>
      <c r="E27" s="5"/>
      <c r="F27" s="5"/>
      <c r="G27" s="5"/>
      <c r="H27" s="5"/>
      <c r="I27" s="5"/>
      <c r="J27" s="5"/>
      <c r="K27" s="5"/>
    </row>
    <row r="28" spans="1:11" ht="15" customHeight="1">
      <c r="A28" s="173" t="s">
        <v>2002</v>
      </c>
      <c r="B28" s="174" t="s">
        <v>1973</v>
      </c>
      <c r="C28" s="175"/>
      <c r="D28" s="176" t="s">
        <v>2003</v>
      </c>
      <c r="E28" s="11" t="s">
        <v>1975</v>
      </c>
      <c r="F28" s="5"/>
      <c r="G28" s="5"/>
      <c r="H28" s="5"/>
      <c r="I28" s="5"/>
      <c r="J28" s="5"/>
      <c r="K28" s="5"/>
    </row>
    <row r="29" spans="1:11" ht="15.75" customHeight="1">
      <c r="A29" s="12" t="s">
        <v>1999</v>
      </c>
      <c r="B29" s="26">
        <v>24333.06</v>
      </c>
      <c r="C29" s="5"/>
      <c r="D29" s="20" t="s">
        <v>1998</v>
      </c>
      <c r="E29" s="31">
        <f>$B$29/(1+$B$30)^$B$31</f>
        <v>20000.001604401707</v>
      </c>
      <c r="F29" s="5"/>
      <c r="G29" s="187" t="s">
        <v>2004</v>
      </c>
      <c r="H29" s="187"/>
      <c r="I29" s="187"/>
      <c r="J29" s="187"/>
      <c r="K29" s="187"/>
    </row>
    <row r="30" spans="1:11" ht="15" customHeight="1">
      <c r="A30" s="13" t="s">
        <v>2000</v>
      </c>
      <c r="B30" s="36">
        <v>0.04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 ht="15" customHeight="1">
      <c r="A31" s="14" t="s">
        <v>2001</v>
      </c>
      <c r="B31" s="39">
        <v>5</v>
      </c>
      <c r="C31" s="5"/>
      <c r="D31" s="5"/>
      <c r="E31" s="5"/>
      <c r="F31" s="5"/>
      <c r="G31" s="8" t="s">
        <v>2005</v>
      </c>
      <c r="H31" s="9" t="s">
        <v>1979</v>
      </c>
      <c r="I31" s="5"/>
      <c r="J31" s="5"/>
      <c r="K31" s="5"/>
    </row>
    <row r="32" spans="1:11" ht="15" customHeight="1">
      <c r="A32" s="5"/>
      <c r="B32" s="5"/>
      <c r="C32" s="5"/>
      <c r="D32" s="5"/>
      <c r="E32" s="5"/>
      <c r="F32" s="5"/>
      <c r="G32" s="12" t="s">
        <v>2006</v>
      </c>
      <c r="H32" s="33">
        <f>$E$47</f>
        <v>3692.5000000000005</v>
      </c>
      <c r="I32" s="5"/>
      <c r="J32" s="5"/>
      <c r="K32" s="5"/>
    </row>
    <row r="33" spans="1:11" ht="15" customHeight="1">
      <c r="A33" s="5"/>
      <c r="B33" s="5"/>
      <c r="C33" s="5"/>
      <c r="D33" s="5"/>
      <c r="E33" s="5"/>
      <c r="F33" s="5"/>
      <c r="G33" s="13" t="s">
        <v>2007</v>
      </c>
      <c r="H33" s="35">
        <f>$E$49</f>
        <v>2981.5</v>
      </c>
      <c r="I33" s="5"/>
      <c r="J33" s="5"/>
      <c r="K33" s="5"/>
    </row>
    <row r="34" spans="1:11" ht="15.75" customHeight="1">
      <c r="A34" s="186" t="s">
        <v>2008</v>
      </c>
      <c r="B34" s="186"/>
      <c r="C34" s="186"/>
      <c r="D34" s="186"/>
      <c r="E34" s="186"/>
      <c r="F34" s="5"/>
      <c r="G34" s="14" t="s">
        <v>630</v>
      </c>
      <c r="H34" s="34">
        <f>$E$50</f>
        <v>2981.5</v>
      </c>
      <c r="I34" s="5"/>
      <c r="J34" s="5"/>
      <c r="K34" s="5"/>
    </row>
    <row r="35" spans="1:11" ht="15" customHeight="1">
      <c r="A35" s="8" t="s">
        <v>1972</v>
      </c>
      <c r="B35" s="9" t="s">
        <v>1973</v>
      </c>
      <c r="C35" s="5"/>
      <c r="D35" s="10" t="s">
        <v>1974</v>
      </c>
      <c r="E35" s="11" t="s">
        <v>1975</v>
      </c>
      <c r="F35" s="5"/>
      <c r="G35" s="5"/>
      <c r="H35" s="5"/>
      <c r="I35" s="5"/>
      <c r="J35" s="5"/>
      <c r="K35" s="5"/>
    </row>
    <row r="36" spans="1:11" ht="15.75" customHeight="1">
      <c r="A36" s="12" t="s">
        <v>2009</v>
      </c>
      <c r="B36" s="26">
        <v>250000</v>
      </c>
      <c r="C36" s="5"/>
      <c r="D36" s="12" t="s">
        <v>2010</v>
      </c>
      <c r="E36" s="28">
        <f>$B$36*$B$37</f>
        <v>8750</v>
      </c>
      <c r="F36" s="5"/>
      <c r="G36" s="5"/>
      <c r="H36" s="5"/>
      <c r="I36" s="5"/>
      <c r="J36" s="5"/>
      <c r="K36" s="5"/>
    </row>
    <row r="37" spans="1:11" ht="15" customHeight="1">
      <c r="A37" s="177" t="s">
        <v>2011</v>
      </c>
      <c r="B37" s="185">
        <v>3.5000000000000003E-2</v>
      </c>
      <c r="C37" s="175"/>
      <c r="D37" s="177" t="s">
        <v>2012</v>
      </c>
      <c r="E37" s="38">
        <f>1-$B$37</f>
        <v>0.96499999999999997</v>
      </c>
      <c r="F37" s="5"/>
      <c r="G37" s="5"/>
      <c r="H37" s="5"/>
      <c r="I37" s="5"/>
      <c r="J37" s="5"/>
      <c r="K37" s="5"/>
    </row>
    <row r="38" spans="1:11" ht="15.75" customHeight="1">
      <c r="A38" s="14" t="s">
        <v>2013</v>
      </c>
      <c r="B38" s="37">
        <v>1.7500000000000002E-2</v>
      </c>
      <c r="C38" s="5"/>
      <c r="D38" s="13" t="s">
        <v>634</v>
      </c>
      <c r="E38" s="29">
        <f>$B$36-$E$36</f>
        <v>241250</v>
      </c>
      <c r="F38" s="5"/>
      <c r="G38" s="5"/>
      <c r="H38" s="5"/>
      <c r="I38" s="5"/>
      <c r="J38" s="5"/>
      <c r="K38" s="5"/>
    </row>
    <row r="39" spans="1:11" ht="15" customHeight="1">
      <c r="A39" s="5"/>
      <c r="B39" s="5"/>
      <c r="C39" s="5"/>
      <c r="D39" s="13" t="s">
        <v>632</v>
      </c>
      <c r="E39" s="29">
        <f>$E$38*$B$38</f>
        <v>4221.875</v>
      </c>
      <c r="F39" s="5"/>
      <c r="G39" s="5"/>
      <c r="H39" s="5"/>
      <c r="I39" s="5"/>
      <c r="J39" s="5"/>
      <c r="K39" s="5"/>
    </row>
    <row r="40" spans="1:11" ht="15" customHeight="1">
      <c r="A40" s="5"/>
      <c r="B40" s="5"/>
      <c r="C40" s="5"/>
      <c r="D40" s="14" t="s">
        <v>2014</v>
      </c>
      <c r="E40" s="30">
        <f>$E$38+$E$39</f>
        <v>245471.875</v>
      </c>
      <c r="F40" s="5"/>
      <c r="G40" s="5"/>
      <c r="H40" s="5"/>
      <c r="I40" s="5"/>
      <c r="J40" s="5"/>
      <c r="K40" s="5"/>
    </row>
    <row r="41" spans="1:1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5.75" customHeight="1">
      <c r="A44" s="186" t="s">
        <v>2015</v>
      </c>
      <c r="B44" s="186"/>
      <c r="C44" s="186"/>
      <c r="D44" s="186"/>
      <c r="E44" s="186"/>
      <c r="F44" s="5"/>
      <c r="G44" s="5"/>
      <c r="H44" s="5"/>
      <c r="I44" s="5"/>
      <c r="J44" s="5"/>
      <c r="K44" s="5"/>
    </row>
    <row r="45" spans="1:11" ht="15" customHeight="1">
      <c r="A45" s="173" t="s">
        <v>1972</v>
      </c>
      <c r="B45" s="174" t="s">
        <v>1973</v>
      </c>
      <c r="C45" s="175"/>
      <c r="D45" s="176" t="s">
        <v>1974</v>
      </c>
      <c r="E45" s="11" t="s">
        <v>1975</v>
      </c>
      <c r="F45" s="5"/>
      <c r="G45" s="5"/>
      <c r="H45" s="5"/>
      <c r="I45" s="5"/>
      <c r="J45" s="5"/>
      <c r="K45" s="5"/>
    </row>
    <row r="46" spans="1:11" ht="15.75" customHeight="1">
      <c r="A46" s="12" t="s">
        <v>2016</v>
      </c>
      <c r="B46" s="26">
        <v>158250</v>
      </c>
      <c r="C46" s="5"/>
      <c r="D46" s="12" t="s">
        <v>2017</v>
      </c>
      <c r="E46" s="28">
        <f>$B$46/12</f>
        <v>13187.5</v>
      </c>
      <c r="F46" s="5"/>
      <c r="G46" s="5"/>
      <c r="H46" s="5"/>
      <c r="I46" s="5"/>
      <c r="J46" s="5"/>
      <c r="K46" s="5"/>
    </row>
    <row r="47" spans="1:11" ht="15.75" customHeight="1">
      <c r="A47" s="13" t="s">
        <v>2018</v>
      </c>
      <c r="B47" s="32">
        <v>1766</v>
      </c>
      <c r="C47" s="5"/>
      <c r="D47" s="13" t="s">
        <v>2019</v>
      </c>
      <c r="E47" s="29">
        <f>$E$46*$B$48</f>
        <v>3692.5000000000005</v>
      </c>
      <c r="F47" s="5"/>
      <c r="G47" s="5"/>
      <c r="H47" s="5"/>
      <c r="I47" s="5"/>
      <c r="J47" s="5"/>
      <c r="K47" s="5"/>
    </row>
    <row r="48" spans="1:11" ht="15.75" customHeight="1">
      <c r="A48" s="13" t="s">
        <v>353</v>
      </c>
      <c r="B48" s="36">
        <v>0.28000000000000003</v>
      </c>
      <c r="C48" s="5"/>
      <c r="D48" s="13" t="s">
        <v>2020</v>
      </c>
      <c r="E48" s="29">
        <f>$E$46*$B$49</f>
        <v>4747.5</v>
      </c>
      <c r="F48" s="5"/>
      <c r="G48" s="5"/>
      <c r="H48" s="5"/>
      <c r="I48" s="5"/>
      <c r="J48" s="5"/>
      <c r="K48" s="5"/>
    </row>
    <row r="49" spans="1:11" ht="15.75" customHeight="1">
      <c r="A49" s="14" t="s">
        <v>354</v>
      </c>
      <c r="B49" s="37">
        <v>0.36</v>
      </c>
      <c r="C49" s="5"/>
      <c r="D49" s="13" t="s">
        <v>2021</v>
      </c>
      <c r="E49" s="29">
        <f>$E$48-$B$47</f>
        <v>2981.5</v>
      </c>
      <c r="F49" s="5"/>
      <c r="G49" s="5"/>
      <c r="H49" s="5"/>
      <c r="I49" s="5"/>
      <c r="J49" s="5"/>
      <c r="K49" s="5"/>
    </row>
    <row r="50" spans="1:11" ht="21.75" customHeight="1">
      <c r="A50" s="175"/>
      <c r="B50" s="175"/>
      <c r="C50" s="175"/>
      <c r="D50" s="177" t="s">
        <v>630</v>
      </c>
      <c r="E50" s="29">
        <f>MIN($E$47,$E$49)</f>
        <v>2981.5</v>
      </c>
      <c r="F50" s="5"/>
      <c r="G50" s="5"/>
      <c r="H50" s="5"/>
      <c r="I50" s="5"/>
      <c r="J50" s="5"/>
      <c r="K50" s="5"/>
    </row>
    <row r="51" spans="1:11" ht="15.75" customHeight="1">
      <c r="A51" s="5"/>
      <c r="B51" s="5"/>
      <c r="C51" s="5"/>
      <c r="D51" s="14" t="s">
        <v>2022</v>
      </c>
      <c r="E51" s="40" t="str">
        <f>IF($E$47&lt;=$E$49,"Front","Back")</f>
        <v>Back</v>
      </c>
      <c r="F51" s="5"/>
      <c r="G51" s="5"/>
      <c r="H51" s="5"/>
      <c r="I51" s="5"/>
      <c r="J51" s="5"/>
      <c r="K51" s="5"/>
    </row>
    <row r="52" spans="1:11" ht="30" customHeight="1">
      <c r="A52" s="175"/>
      <c r="B52" s="175"/>
      <c r="C52" s="175"/>
      <c r="D52" s="175"/>
      <c r="E52" s="5"/>
      <c r="F52" s="5"/>
      <c r="G52" s="5"/>
      <c r="H52" s="5"/>
      <c r="I52" s="5"/>
      <c r="J52" s="5"/>
      <c r="K52" s="5"/>
    </row>
    <row r="53" spans="1:11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19.5" customHeight="1">
      <c r="A54" s="175"/>
      <c r="B54" s="175"/>
      <c r="C54" s="175"/>
      <c r="D54" s="175"/>
      <c r="E54" s="5"/>
      <c r="F54" s="5"/>
      <c r="G54" s="5"/>
      <c r="H54" s="5"/>
      <c r="I54" s="5"/>
      <c r="J54" s="5"/>
      <c r="K54" s="5"/>
    </row>
    <row r="55" spans="1:11" ht="19.5" customHeight="1">
      <c r="A55" s="178" t="s">
        <v>2023</v>
      </c>
      <c r="B55" s="178"/>
      <c r="C55" s="178"/>
      <c r="D55" s="178"/>
      <c r="E55" s="22"/>
      <c r="F55" s="5"/>
      <c r="G55" s="5"/>
      <c r="H55" s="5"/>
      <c r="I55" s="5"/>
      <c r="J55" s="5"/>
      <c r="K55" s="5"/>
    </row>
    <row r="56" spans="1:11" ht="27.95" customHeight="1">
      <c r="A56" s="123" t="s">
        <v>158</v>
      </c>
      <c r="B56" s="190" t="s">
        <v>2024</v>
      </c>
      <c r="C56" s="190"/>
      <c r="D56" s="190"/>
      <c r="E56" s="191"/>
      <c r="F56" s="5"/>
      <c r="G56" s="5"/>
      <c r="H56" s="5"/>
      <c r="I56" s="5"/>
      <c r="J56" s="5"/>
      <c r="K56" s="5"/>
    </row>
    <row r="57" spans="1:11" ht="27.95" customHeight="1">
      <c r="A57" s="123" t="s">
        <v>477</v>
      </c>
      <c r="B57" s="190" t="s">
        <v>2025</v>
      </c>
      <c r="C57" s="190"/>
      <c r="D57" s="190"/>
      <c r="E57" s="191"/>
      <c r="F57" s="5"/>
      <c r="G57" s="5"/>
      <c r="H57" s="5"/>
      <c r="I57" s="5"/>
      <c r="J57" s="5"/>
      <c r="K57" s="5"/>
    </row>
    <row r="58" spans="1:11" ht="27.95" customHeight="1">
      <c r="A58" s="123" t="s">
        <v>632</v>
      </c>
      <c r="B58" s="190" t="s">
        <v>2026</v>
      </c>
      <c r="C58" s="190"/>
      <c r="D58" s="190"/>
      <c r="E58" s="191"/>
      <c r="F58" s="5"/>
      <c r="G58" s="5"/>
      <c r="H58" s="5"/>
      <c r="I58" s="5"/>
      <c r="J58" s="5"/>
      <c r="K58" s="5"/>
    </row>
    <row r="59" spans="1:11" ht="27.95" customHeight="1">
      <c r="A59" s="123" t="s">
        <v>19</v>
      </c>
      <c r="B59" s="190" t="s">
        <v>2027</v>
      </c>
      <c r="C59" s="190"/>
      <c r="D59" s="190"/>
      <c r="E59" s="191"/>
      <c r="F59" s="5"/>
      <c r="G59" s="5"/>
      <c r="H59" s="5"/>
      <c r="I59" s="5"/>
      <c r="J59" s="5"/>
      <c r="K59" s="5"/>
    </row>
    <row r="60" spans="1:11" ht="18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ht="15.75" customHeight="1"/>
    <row r="62" spans="1:11" ht="15" customHeight="1">
      <c r="A62" s="6" t="s">
        <v>2028</v>
      </c>
      <c r="B62" s="6"/>
      <c r="C62" s="6"/>
      <c r="D62" s="6"/>
      <c r="E62" s="6"/>
      <c r="F62" s="6"/>
      <c r="G62" s="6"/>
      <c r="H62" s="6"/>
    </row>
    <row r="63" spans="1:11" ht="19.5" customHeight="1">
      <c r="A63" s="6" t="s">
        <v>2029</v>
      </c>
      <c r="B63" s="6"/>
      <c r="C63" s="6"/>
      <c r="D63" s="6"/>
      <c r="E63" s="6"/>
      <c r="F63" s="6"/>
      <c r="G63" s="6"/>
      <c r="H63" s="6"/>
    </row>
    <row r="64" spans="1:11" ht="19.5" customHeight="1">
      <c r="A64" s="6" t="s">
        <v>1976</v>
      </c>
      <c r="B64" s="6">
        <v>209588</v>
      </c>
      <c r="C64" s="6"/>
      <c r="D64" s="6" t="s">
        <v>1977</v>
      </c>
      <c r="E64" s="6">
        <f>$B$8*$B$9</f>
        <v>9431.4599999999991</v>
      </c>
      <c r="F64" s="6"/>
      <c r="G64" s="6" t="s">
        <v>1978</v>
      </c>
      <c r="H64" s="6" t="s">
        <v>1979</v>
      </c>
    </row>
    <row r="65" spans="1:8" ht="19.5" customHeight="1">
      <c r="A65" s="6" t="s">
        <v>2030</v>
      </c>
      <c r="B65" s="6"/>
      <c r="C65" s="6"/>
      <c r="D65" s="6"/>
      <c r="E65" s="6"/>
      <c r="F65" s="6"/>
      <c r="G65" s="6"/>
      <c r="H65" s="6"/>
    </row>
    <row r="66" spans="1:8" ht="19.5" customHeight="1">
      <c r="A66" s="6" t="s">
        <v>1972</v>
      </c>
      <c r="B66" s="6" t="s">
        <v>1973</v>
      </c>
      <c r="C66" s="6"/>
      <c r="D66" s="6" t="s">
        <v>2031</v>
      </c>
      <c r="E66" s="6" t="s">
        <v>1975</v>
      </c>
      <c r="F66" s="6"/>
      <c r="G66" s="6" t="s">
        <v>2032</v>
      </c>
      <c r="H66" s="6"/>
    </row>
    <row r="67" spans="1:8" ht="19.5" customHeight="1">
      <c r="A67" s="6" t="s">
        <v>2033</v>
      </c>
      <c r="B67" s="124">
        <v>292500</v>
      </c>
      <c r="C67" s="6"/>
      <c r="D67" s="6" t="s">
        <v>2034</v>
      </c>
      <c r="E67" s="124">
        <f>B68+B69</f>
        <v>20475</v>
      </c>
      <c r="F67" s="6"/>
      <c r="G67" s="7" t="s">
        <v>2035</v>
      </c>
      <c r="H67" s="6"/>
    </row>
    <row r="68" spans="1:8" ht="15.75" customHeight="1">
      <c r="A68" s="6" t="s">
        <v>2036</v>
      </c>
      <c r="B68" s="124">
        <v>10237.5</v>
      </c>
      <c r="C68" s="6"/>
      <c r="D68" s="6" t="s">
        <v>2037</v>
      </c>
      <c r="E68" s="125">
        <f>E67/B67</f>
        <v>7.0000000000000007E-2</v>
      </c>
      <c r="F68" s="6"/>
      <c r="G68" s="7" t="s">
        <v>2038</v>
      </c>
      <c r="H68" s="6"/>
    </row>
    <row r="69" spans="1:8" ht="15" customHeight="1">
      <c r="A69" s="179" t="s">
        <v>2039</v>
      </c>
      <c r="B69" s="180">
        <v>10237.5</v>
      </c>
      <c r="C69" s="179"/>
      <c r="D69" s="179" t="s">
        <v>2040</v>
      </c>
      <c r="E69" s="6" t="str">
        <f>IF(ROUND(E68,4)=0.07,"D. 7%","Review")</f>
        <v>D. 7%</v>
      </c>
      <c r="F69" s="6"/>
      <c r="G69" s="7" t="s">
        <v>2041</v>
      </c>
      <c r="H69" s="6"/>
    </row>
    <row r="70" spans="1:8" ht="15.75" customHeight="1">
      <c r="A70" s="6"/>
      <c r="B70" s="6"/>
      <c r="C70" s="6"/>
      <c r="D70" s="6"/>
      <c r="E70" s="6"/>
      <c r="F70" s="6"/>
      <c r="G70" s="7"/>
      <c r="H70" s="6"/>
    </row>
    <row r="71" spans="1:8" ht="15.75" customHeight="1">
      <c r="A71" s="6"/>
      <c r="B71" s="6"/>
      <c r="C71" s="6"/>
      <c r="D71" s="6"/>
      <c r="E71" s="6"/>
      <c r="F71" s="6"/>
      <c r="G71" s="7"/>
      <c r="H71" s="6"/>
    </row>
    <row r="72" spans="1:8" ht="15.75" customHeight="1">
      <c r="A72" s="6" t="s">
        <v>2042</v>
      </c>
      <c r="B72" s="6"/>
      <c r="C72" s="6"/>
      <c r="D72" s="6"/>
      <c r="E72" s="6"/>
      <c r="F72" s="6"/>
      <c r="G72" s="7"/>
      <c r="H72" s="6"/>
    </row>
    <row r="73" spans="1:8" ht="15.75" customHeight="1">
      <c r="A73" s="6" t="s">
        <v>1972</v>
      </c>
      <c r="B73" s="6" t="s">
        <v>1973</v>
      </c>
      <c r="C73" s="6"/>
      <c r="D73" s="6" t="s">
        <v>2031</v>
      </c>
      <c r="E73" s="6" t="s">
        <v>1975</v>
      </c>
      <c r="F73" s="6"/>
      <c r="G73" s="7" t="s">
        <v>2032</v>
      </c>
      <c r="H73" s="6"/>
    </row>
    <row r="74" spans="1:8" ht="15.75" customHeight="1">
      <c r="A74" s="6" t="s">
        <v>2043</v>
      </c>
      <c r="B74" s="124">
        <v>425000</v>
      </c>
      <c r="C74" s="6"/>
      <c r="D74" s="6" t="s">
        <v>2044</v>
      </c>
      <c r="E74" s="124">
        <f>B74*B75</f>
        <v>403750</v>
      </c>
      <c r="F74" s="6"/>
      <c r="G74" s="7" t="s">
        <v>2045</v>
      </c>
      <c r="H74" s="6"/>
    </row>
    <row r="75" spans="1:8" ht="15.75" customHeight="1">
      <c r="A75" s="6" t="s">
        <v>2046</v>
      </c>
      <c r="B75" s="125">
        <v>0.95</v>
      </c>
      <c r="C75" s="6"/>
      <c r="D75" s="6" t="s">
        <v>2040</v>
      </c>
      <c r="E75" s="6" t="str">
        <f>IF(ROUND(E74,2)=403750,"A. $403,750","Review")</f>
        <v>A. $403,750</v>
      </c>
      <c r="F75" s="6"/>
      <c r="G75" s="7" t="s">
        <v>2047</v>
      </c>
      <c r="H75" s="6"/>
    </row>
    <row r="76" spans="1:8" ht="15.75" customHeight="1">
      <c r="A76" s="6"/>
      <c r="B76" s="6"/>
      <c r="C76" s="6"/>
      <c r="D76" s="6"/>
      <c r="E76" s="6"/>
      <c r="F76" s="6"/>
      <c r="G76" s="7"/>
      <c r="H76" s="6"/>
    </row>
    <row r="77" spans="1:8" ht="15.75" customHeight="1">
      <c r="A77" s="6"/>
      <c r="B77" s="6"/>
      <c r="C77" s="6"/>
      <c r="D77" s="6"/>
      <c r="E77" s="6"/>
      <c r="F77" s="6"/>
      <c r="G77" s="7"/>
      <c r="H77" s="6"/>
    </row>
    <row r="78" spans="1:8" ht="15.75" customHeight="1">
      <c r="A78" s="6" t="s">
        <v>2048</v>
      </c>
      <c r="B78" s="6"/>
      <c r="C78" s="6"/>
      <c r="D78" s="6"/>
      <c r="E78" s="6"/>
      <c r="F78" s="6"/>
      <c r="G78" s="7"/>
      <c r="H78" s="6"/>
    </row>
    <row r="79" spans="1:8" ht="15.75" customHeight="1">
      <c r="A79" s="6" t="s">
        <v>1972</v>
      </c>
      <c r="B79" s="6" t="s">
        <v>1973</v>
      </c>
      <c r="C79" s="6"/>
      <c r="D79" s="6" t="s">
        <v>2031</v>
      </c>
      <c r="E79" s="6" t="s">
        <v>1975</v>
      </c>
      <c r="F79" s="6"/>
      <c r="G79" s="7" t="s">
        <v>2032</v>
      </c>
      <c r="H79" s="6"/>
    </row>
    <row r="80" spans="1:8" ht="15.75" customHeight="1">
      <c r="A80" s="6" t="s">
        <v>2049</v>
      </c>
      <c r="B80" s="126">
        <v>787253</v>
      </c>
      <c r="C80" s="6"/>
      <c r="D80" s="6" t="s">
        <v>2050</v>
      </c>
      <c r="E80" s="127">
        <f>B80/B81</f>
        <v>18.072842056932966</v>
      </c>
      <c r="F80" s="6"/>
      <c r="G80" s="7" t="s">
        <v>2051</v>
      </c>
      <c r="H80" s="6"/>
    </row>
    <row r="81" spans="1:8" ht="15.75" customHeight="1">
      <c r="A81" s="6" t="s">
        <v>2052</v>
      </c>
      <c r="B81" s="126">
        <v>43560</v>
      </c>
      <c r="C81" s="6"/>
      <c r="D81" s="6" t="s">
        <v>2053</v>
      </c>
      <c r="E81" s="128">
        <f>ROUND(E80,0)</f>
        <v>18</v>
      </c>
      <c r="F81" s="6"/>
      <c r="G81" s="7" t="s">
        <v>2054</v>
      </c>
      <c r="H81" s="6"/>
    </row>
    <row r="82" spans="1:8" ht="15.75" customHeight="1">
      <c r="A82" s="6" t="s">
        <v>2001</v>
      </c>
      <c r="B82" s="6">
        <v>5</v>
      </c>
      <c r="C82" s="6"/>
      <c r="D82" s="6" t="s">
        <v>2040</v>
      </c>
      <c r="E82" s="6" t="str">
        <f>IF(E81=18,"B. 18","Review")</f>
        <v>B. 18</v>
      </c>
      <c r="F82" s="6"/>
      <c r="G82" s="7" t="s">
        <v>2055</v>
      </c>
      <c r="H82" s="6"/>
    </row>
    <row r="83" spans="1:8" ht="15.75" customHeight="1"/>
    <row r="84" spans="1:8" ht="24" customHeight="1">
      <c r="A84" s="135" t="s">
        <v>2056</v>
      </c>
      <c r="B84" s="135"/>
      <c r="C84" s="135"/>
      <c r="D84" s="135"/>
      <c r="E84" s="135"/>
      <c r="F84" s="135"/>
      <c r="G84" s="135"/>
      <c r="H84" s="135"/>
    </row>
    <row r="85" spans="1:8" ht="20.100000000000001" customHeight="1">
      <c r="A85" s="139" t="s">
        <v>2057</v>
      </c>
      <c r="B85" s="139"/>
      <c r="C85" s="139"/>
      <c r="D85" s="139"/>
      <c r="E85" s="139"/>
      <c r="F85" s="139"/>
      <c r="G85" s="139"/>
      <c r="H85" s="139"/>
    </row>
    <row r="86" spans="1:8" ht="15.75" customHeight="1">
      <c r="A86" s="139"/>
      <c r="B86" s="139"/>
      <c r="C86" s="139"/>
      <c r="D86" s="139"/>
      <c r="E86" s="139"/>
      <c r="F86" s="139"/>
      <c r="G86" s="139"/>
      <c r="H86" s="139"/>
    </row>
    <row r="87" spans="1:8" ht="15.75" customHeight="1">
      <c r="A87" s="143" t="s">
        <v>1972</v>
      </c>
      <c r="B87" s="143" t="s">
        <v>1973</v>
      </c>
      <c r="C87" s="143"/>
      <c r="D87" s="143" t="s">
        <v>2031</v>
      </c>
      <c r="E87" s="143" t="s">
        <v>1975</v>
      </c>
      <c r="F87" s="143"/>
      <c r="G87" s="143" t="s">
        <v>2058</v>
      </c>
      <c r="H87" s="143"/>
    </row>
    <row r="88" spans="1:8" ht="20.100000000000001" customHeight="1">
      <c r="A88" s="139" t="s">
        <v>2033</v>
      </c>
      <c r="B88" s="144">
        <v>250000</v>
      </c>
      <c r="C88" s="139"/>
      <c r="D88" s="139" t="s">
        <v>2059</v>
      </c>
      <c r="E88" s="149">
        <f>B88*B89</f>
        <v>12500</v>
      </c>
      <c r="F88" s="139"/>
      <c r="G88" s="139" t="s">
        <v>1008</v>
      </c>
      <c r="H88" s="139"/>
    </row>
    <row r="89" spans="1:8" ht="20.100000000000001" customHeight="1">
      <c r="A89" s="139" t="s">
        <v>2037</v>
      </c>
      <c r="B89" s="145">
        <v>0.05</v>
      </c>
      <c r="C89" s="139"/>
      <c r="D89" s="139" t="s">
        <v>2060</v>
      </c>
      <c r="E89" s="150">
        <f>B90/B88</f>
        <v>0.05</v>
      </c>
      <c r="F89" s="139"/>
      <c r="G89" s="139" t="s">
        <v>2061</v>
      </c>
      <c r="H89" s="139"/>
    </row>
    <row r="90" spans="1:8" ht="20.100000000000001" customHeight="1">
      <c r="A90" s="139" t="s">
        <v>2059</v>
      </c>
      <c r="B90" s="144">
        <v>12500</v>
      </c>
      <c r="C90" s="139"/>
      <c r="D90" s="139" t="s">
        <v>2062</v>
      </c>
      <c r="E90" s="149">
        <f>B90/B89</f>
        <v>250000</v>
      </c>
      <c r="F90" s="139"/>
      <c r="G90" s="139" t="s">
        <v>2063</v>
      </c>
      <c r="H90" s="139"/>
    </row>
    <row r="91" spans="1:8" ht="20.100000000000001" customHeight="1">
      <c r="A91" s="139"/>
      <c r="B91" s="139"/>
      <c r="C91" s="139"/>
      <c r="D91" s="139"/>
      <c r="E91" s="139"/>
      <c r="F91" s="139"/>
      <c r="G91" s="139"/>
      <c r="H91" s="139"/>
    </row>
    <row r="92" spans="1:8" ht="24" customHeight="1">
      <c r="A92" s="135" t="s">
        <v>2064</v>
      </c>
      <c r="B92" s="135"/>
      <c r="C92" s="135"/>
      <c r="D92" s="135"/>
      <c r="E92" s="135"/>
      <c r="F92" s="135"/>
      <c r="G92" s="135"/>
      <c r="H92" s="135"/>
    </row>
    <row r="93" spans="1:8" ht="20.100000000000001" customHeight="1">
      <c r="A93" s="139" t="s">
        <v>2065</v>
      </c>
      <c r="B93" s="144">
        <v>85000</v>
      </c>
      <c r="C93" s="139"/>
      <c r="D93" s="139" t="s">
        <v>2066</v>
      </c>
      <c r="E93" s="149">
        <f>SUM(B93:B95)</f>
        <v>347450</v>
      </c>
      <c r="F93" s="139"/>
      <c r="G93" s="139" t="s">
        <v>2067</v>
      </c>
      <c r="H93" s="139"/>
    </row>
    <row r="94" spans="1:8" ht="20.100000000000001" customHeight="1">
      <c r="A94" s="139" t="s">
        <v>2068</v>
      </c>
      <c r="B94" s="144">
        <v>254850</v>
      </c>
      <c r="C94" s="139"/>
      <c r="D94" s="139" t="s">
        <v>2069</v>
      </c>
      <c r="E94" s="150">
        <f>1-B96</f>
        <v>0.94</v>
      </c>
      <c r="F94" s="139"/>
      <c r="G94" s="139" t="s">
        <v>2070</v>
      </c>
      <c r="H94" s="139"/>
    </row>
    <row r="95" spans="1:8" ht="20.100000000000001" customHeight="1">
      <c r="A95" s="139" t="s">
        <v>2071</v>
      </c>
      <c r="B95" s="144">
        <v>7600</v>
      </c>
      <c r="C95" s="139"/>
      <c r="D95" s="139" t="s">
        <v>2072</v>
      </c>
      <c r="E95" s="149">
        <f>E93/E94</f>
        <v>369627.6595744681</v>
      </c>
      <c r="F95" s="139"/>
      <c r="G95" s="139" t="s">
        <v>2073</v>
      </c>
      <c r="H95" s="139"/>
    </row>
    <row r="96" spans="1:8" ht="20.100000000000001" customHeight="1">
      <c r="A96" s="139" t="s">
        <v>2037</v>
      </c>
      <c r="B96" s="145">
        <v>0.06</v>
      </c>
      <c r="C96" s="139"/>
      <c r="D96" s="139" t="s">
        <v>2074</v>
      </c>
      <c r="E96" s="149">
        <f>E95*B96</f>
        <v>22177.659574468085</v>
      </c>
      <c r="F96" s="139"/>
      <c r="G96" s="139" t="s">
        <v>2075</v>
      </c>
      <c r="H96" s="139"/>
    </row>
    <row r="97" spans="1:8" ht="20.100000000000001" customHeight="1">
      <c r="A97" s="139"/>
      <c r="B97" s="141"/>
      <c r="C97" s="139"/>
      <c r="D97" s="139" t="s">
        <v>2076</v>
      </c>
      <c r="E97" s="149">
        <f>E95-E96-B94-B95</f>
        <v>85000</v>
      </c>
      <c r="F97" s="139"/>
      <c r="G97" s="139" t="s">
        <v>2077</v>
      </c>
      <c r="H97" s="139"/>
    </row>
    <row r="98" spans="1:8" ht="20.100000000000001" customHeight="1">
      <c r="A98" s="139"/>
      <c r="B98" s="139"/>
      <c r="C98" s="139"/>
      <c r="D98" s="139"/>
      <c r="E98" s="140"/>
      <c r="F98" s="139"/>
      <c r="G98" s="139"/>
      <c r="H98" s="139"/>
    </row>
    <row r="99" spans="1:8" ht="24" customHeight="1">
      <c r="A99" s="135" t="s">
        <v>2078</v>
      </c>
      <c r="B99" s="135"/>
      <c r="C99" s="135"/>
      <c r="D99" s="135"/>
      <c r="E99" s="135"/>
      <c r="F99" s="135"/>
      <c r="G99" s="135"/>
      <c r="H99" s="135"/>
    </row>
    <row r="100" spans="1:8" ht="20.100000000000001" customHeight="1">
      <c r="A100" s="138" t="s">
        <v>2079</v>
      </c>
      <c r="B100" s="146">
        <v>459000</v>
      </c>
      <c r="C100" s="138"/>
      <c r="D100" s="138" t="s">
        <v>2080</v>
      </c>
      <c r="E100" s="151">
        <f>B100*B101</f>
        <v>7803.0000000000009</v>
      </c>
      <c r="F100" s="138"/>
      <c r="G100" s="138" t="s">
        <v>2081</v>
      </c>
      <c r="H100" s="138"/>
    </row>
    <row r="101" spans="1:8" ht="20.100000000000001" customHeight="1">
      <c r="A101" s="139" t="s">
        <v>2082</v>
      </c>
      <c r="B101" s="145">
        <v>1.7000000000000001E-2</v>
      </c>
      <c r="C101" s="139"/>
      <c r="D101" s="139"/>
      <c r="E101" s="149"/>
      <c r="F101" s="139"/>
      <c r="G101" s="139" t="s">
        <v>2083</v>
      </c>
      <c r="H101" s="139"/>
    </row>
    <row r="102" spans="1:8" ht="20.100000000000001" customHeight="1">
      <c r="A102" s="139" t="s">
        <v>1976</v>
      </c>
      <c r="B102" s="144">
        <v>140250</v>
      </c>
      <c r="C102" s="139"/>
      <c r="D102" s="139" t="s">
        <v>1977</v>
      </c>
      <c r="E102" s="149">
        <f>B102*B103</f>
        <v>9817.5000000000018</v>
      </c>
      <c r="F102" s="139"/>
      <c r="G102" s="139" t="s">
        <v>2084</v>
      </c>
      <c r="H102" s="139"/>
    </row>
    <row r="103" spans="1:8" ht="20.100000000000001" customHeight="1">
      <c r="A103" s="139" t="s">
        <v>1980</v>
      </c>
      <c r="B103" s="145">
        <v>7.0000000000000007E-2</v>
      </c>
      <c r="C103" s="139"/>
      <c r="D103" s="139" t="s">
        <v>2085</v>
      </c>
      <c r="E103" s="149">
        <f>E102/365</f>
        <v>26.897260273972609</v>
      </c>
      <c r="F103" s="139"/>
      <c r="G103" s="139" t="s">
        <v>2086</v>
      </c>
      <c r="H103" s="139"/>
    </row>
    <row r="104" spans="1:8" ht="20.100000000000001" customHeight="1">
      <c r="A104" s="139" t="s">
        <v>2087</v>
      </c>
      <c r="B104" s="147">
        <v>34</v>
      </c>
      <c r="C104" s="139"/>
      <c r="D104" s="139" t="s">
        <v>2088</v>
      </c>
      <c r="E104" s="149">
        <f>E103*B104</f>
        <v>914.50684931506873</v>
      </c>
      <c r="F104" s="139"/>
      <c r="G104" s="139" t="s">
        <v>1955</v>
      </c>
      <c r="H104" s="139"/>
    </row>
    <row r="105" spans="1:8" ht="20.100000000000001" customHeight="1">
      <c r="A105" s="139"/>
      <c r="B105" s="141"/>
      <c r="C105" s="139"/>
      <c r="D105" s="139"/>
      <c r="E105" s="140"/>
      <c r="F105" s="139"/>
      <c r="G105" s="139"/>
      <c r="H105" s="139"/>
    </row>
    <row r="106" spans="1:8" ht="24" customHeight="1">
      <c r="A106" s="135" t="s">
        <v>2089</v>
      </c>
      <c r="B106" s="136"/>
      <c r="C106" s="135"/>
      <c r="D106" s="135"/>
      <c r="E106" s="137"/>
      <c r="F106" s="135"/>
      <c r="G106" s="135"/>
      <c r="H106" s="135"/>
    </row>
    <row r="107" spans="1:8" ht="20.100000000000001" customHeight="1">
      <c r="A107" s="139" t="s">
        <v>2090</v>
      </c>
      <c r="B107" s="147">
        <v>560</v>
      </c>
      <c r="C107" s="139"/>
      <c r="D107" s="139" t="s">
        <v>2091</v>
      </c>
      <c r="E107" s="152">
        <f>B107*B108</f>
        <v>476000</v>
      </c>
      <c r="F107" s="139"/>
      <c r="G107" s="139" t="s">
        <v>2092</v>
      </c>
      <c r="H107" s="139"/>
    </row>
    <row r="108" spans="1:8" ht="20.100000000000001" customHeight="1">
      <c r="A108" s="139" t="s">
        <v>2093</v>
      </c>
      <c r="B108" s="147">
        <v>850</v>
      </c>
      <c r="C108" s="139"/>
      <c r="D108" s="139" t="s">
        <v>2050</v>
      </c>
      <c r="E108" s="152">
        <f>E107/43560</f>
        <v>10.927456382001836</v>
      </c>
      <c r="F108" s="139"/>
      <c r="G108" s="139" t="s">
        <v>2051</v>
      </c>
      <c r="H108" s="139"/>
    </row>
    <row r="109" spans="1:8" ht="20.100000000000001" customHeight="1">
      <c r="A109" s="138" t="s">
        <v>2094</v>
      </c>
      <c r="B109" s="148">
        <v>150</v>
      </c>
      <c r="C109" s="138"/>
      <c r="D109" s="138" t="s">
        <v>2095</v>
      </c>
      <c r="E109" s="153">
        <f>B109*B110/2</f>
        <v>24375</v>
      </c>
      <c r="F109" s="138"/>
      <c r="G109" s="138" t="s">
        <v>2096</v>
      </c>
      <c r="H109" s="138"/>
    </row>
    <row r="110" spans="1:8" ht="20.100000000000001" customHeight="1">
      <c r="A110" s="139" t="s">
        <v>2097</v>
      </c>
      <c r="B110" s="147">
        <v>325</v>
      </c>
      <c r="C110" s="139"/>
      <c r="D110" s="139"/>
      <c r="E110" s="154"/>
      <c r="F110" s="139"/>
      <c r="G110" s="139" t="s">
        <v>2098</v>
      </c>
      <c r="H110" s="139"/>
    </row>
    <row r="111" spans="1:8" ht="20.100000000000001" customHeight="1">
      <c r="A111" s="139" t="s">
        <v>2099</v>
      </c>
      <c r="B111" s="147">
        <v>150</v>
      </c>
      <c r="C111" s="139"/>
      <c r="D111" s="139" t="s">
        <v>2100</v>
      </c>
      <c r="E111" s="149">
        <f>B111*B112</f>
        <v>720000</v>
      </c>
      <c r="F111" s="139"/>
      <c r="G111" s="139" t="s">
        <v>2101</v>
      </c>
      <c r="H111" s="139"/>
    </row>
    <row r="112" spans="1:8" ht="20.100000000000001" customHeight="1">
      <c r="A112" s="139" t="s">
        <v>2102</v>
      </c>
      <c r="B112" s="144">
        <v>4800</v>
      </c>
      <c r="C112" s="139"/>
      <c r="D112" s="139"/>
      <c r="E112" s="152"/>
      <c r="F112" s="139"/>
      <c r="G112" s="139" t="s">
        <v>2103</v>
      </c>
      <c r="H112" s="139"/>
    </row>
    <row r="113" spans="1:8" ht="20.100000000000001" customHeight="1">
      <c r="A113" s="139" t="s">
        <v>2104</v>
      </c>
      <c r="B113" s="147">
        <v>20</v>
      </c>
      <c r="C113" s="139"/>
      <c r="D113" s="139" t="s">
        <v>1939</v>
      </c>
      <c r="E113" s="152">
        <f>B107*B108*B113</f>
        <v>9520000</v>
      </c>
      <c r="F113" s="139"/>
      <c r="G113" s="139" t="s">
        <v>2105</v>
      </c>
      <c r="H113" s="139"/>
    </row>
    <row r="114" spans="1:8" ht="20.100000000000001" customHeight="1">
      <c r="A114" s="139"/>
      <c r="B114" s="142"/>
      <c r="C114" s="139"/>
      <c r="D114" s="139"/>
      <c r="E114" s="140"/>
      <c r="F114" s="139"/>
      <c r="G114" s="139"/>
      <c r="H114" s="139"/>
    </row>
    <row r="115" spans="1:8" ht="24" customHeight="1">
      <c r="A115" s="135" t="s">
        <v>2106</v>
      </c>
      <c r="B115" s="136"/>
      <c r="C115" s="135"/>
      <c r="D115" s="135"/>
      <c r="E115" s="136"/>
      <c r="F115" s="135"/>
      <c r="G115" s="135"/>
      <c r="H115" s="135"/>
    </row>
    <row r="116" spans="1:8" ht="20.100000000000001" customHeight="1">
      <c r="A116" s="139" t="s">
        <v>2107</v>
      </c>
      <c r="B116" s="144">
        <v>2200</v>
      </c>
      <c r="C116" s="139"/>
      <c r="D116" s="139" t="s">
        <v>2108</v>
      </c>
      <c r="E116" s="149">
        <f>B116/365</f>
        <v>6.0273972602739727</v>
      </c>
      <c r="F116" s="139"/>
      <c r="G116" s="139" t="s">
        <v>2086</v>
      </c>
      <c r="H116" s="139"/>
    </row>
    <row r="117" spans="1:8" ht="20.100000000000001" customHeight="1">
      <c r="A117" s="139" t="s">
        <v>2087</v>
      </c>
      <c r="B117" s="147">
        <v>258</v>
      </c>
      <c r="C117" s="139"/>
      <c r="D117" s="139" t="s">
        <v>2109</v>
      </c>
      <c r="E117" s="149">
        <f>E116*B117</f>
        <v>1555.0684931506851</v>
      </c>
      <c r="F117" s="139"/>
      <c r="G117" s="139" t="s">
        <v>2110</v>
      </c>
      <c r="H117" s="139"/>
    </row>
    <row r="118" spans="1:8" ht="15.75" customHeight="1"/>
    <row r="119" spans="1:8" ht="15.75" customHeight="1"/>
    <row r="120" spans="1:8" ht="24" customHeight="1">
      <c r="A120" s="131"/>
      <c r="B120" s="131"/>
      <c r="C120" s="131"/>
      <c r="D120" s="131"/>
      <c r="E120" s="131"/>
      <c r="F120" s="131"/>
      <c r="G120" s="131"/>
      <c r="H120" s="131"/>
    </row>
    <row r="121" spans="1:8" ht="15.75" customHeight="1"/>
    <row r="122" spans="1:8" ht="15.75" customHeight="1">
      <c r="B122" s="132"/>
      <c r="E122" s="133"/>
    </row>
    <row r="123" spans="1:8" ht="15.75" customHeight="1">
      <c r="B123" s="134"/>
      <c r="E123" s="133"/>
    </row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K1"/>
    <mergeCell ref="A2:K2"/>
    <mergeCell ref="B56:E56"/>
    <mergeCell ref="B57:E57"/>
    <mergeCell ref="B58:E58"/>
    <mergeCell ref="G6:K6"/>
    <mergeCell ref="A15:E15"/>
    <mergeCell ref="A22:E22"/>
    <mergeCell ref="A34:E34"/>
    <mergeCell ref="A44:E44"/>
    <mergeCell ref="G29:K29"/>
    <mergeCell ref="A69:D69"/>
    <mergeCell ref="A3:D3"/>
    <mergeCell ref="A17:D17"/>
    <mergeCell ref="A18:D18"/>
    <mergeCell ref="A27:D27"/>
    <mergeCell ref="A28:D28"/>
    <mergeCell ref="A37:D37"/>
    <mergeCell ref="A6:E6"/>
    <mergeCell ref="B59:E59"/>
    <mergeCell ref="A45:D45"/>
    <mergeCell ref="A50:D50"/>
    <mergeCell ref="A52:D52"/>
    <mergeCell ref="A54:D54"/>
    <mergeCell ref="A55:D5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/>
  </sheetViews>
  <sheetFormatPr defaultColWidth="14.42578125" defaultRowHeight="15"/>
  <cols>
    <col min="1" max="1" width="31" customWidth="1"/>
    <col min="2" max="3" width="18" customWidth="1"/>
    <col min="4" max="4" width="46" customWidth="1"/>
    <col min="5" max="5" width="20" customWidth="1"/>
    <col min="6" max="6" width="3" customWidth="1"/>
    <col min="7" max="7" width="24" customWidth="1"/>
    <col min="8" max="8" width="18" customWidth="1"/>
    <col min="9" max="26" width="8.7109375" customWidth="1"/>
  </cols>
  <sheetData>
    <row r="1" spans="1:8" ht="30" customHeight="1">
      <c r="A1" s="188" t="s">
        <v>2111</v>
      </c>
      <c r="B1" s="188"/>
      <c r="C1" s="188"/>
      <c r="D1" s="188"/>
      <c r="E1" s="188"/>
      <c r="F1" s="188"/>
      <c r="G1" s="188"/>
      <c r="H1" s="188"/>
    </row>
    <row r="2" spans="1:8">
      <c r="A2" s="192" t="s">
        <v>2112</v>
      </c>
      <c r="B2" s="192"/>
      <c r="C2" s="192"/>
      <c r="D2" s="192"/>
      <c r="E2" s="192"/>
      <c r="F2" s="192"/>
      <c r="G2" s="192"/>
      <c r="H2" s="192"/>
    </row>
    <row r="3" spans="1:8" ht="15" customHeight="1">
      <c r="A3" s="175"/>
      <c r="B3" s="175"/>
      <c r="C3" s="175"/>
      <c r="D3" s="175"/>
      <c r="E3" s="5"/>
      <c r="F3" s="5"/>
      <c r="G3" s="5"/>
      <c r="H3" s="5"/>
    </row>
    <row r="4" spans="1:8">
      <c r="A4" s="41" t="s">
        <v>2113</v>
      </c>
      <c r="B4" s="42" t="s">
        <v>353</v>
      </c>
      <c r="C4" s="42" t="s">
        <v>354</v>
      </c>
      <c r="D4" s="43" t="s">
        <v>2114</v>
      </c>
      <c r="E4" s="5"/>
      <c r="F4" s="5"/>
      <c r="G4" s="41" t="s">
        <v>2115</v>
      </c>
      <c r="H4" s="43" t="s">
        <v>1979</v>
      </c>
    </row>
    <row r="5" spans="1:8" ht="26.25" customHeight="1">
      <c r="A5" s="12" t="s">
        <v>2116</v>
      </c>
      <c r="B5" s="48">
        <v>0.28000000000000003</v>
      </c>
      <c r="C5" s="48">
        <v>0.36</v>
      </c>
      <c r="D5" s="16" t="s">
        <v>2117</v>
      </c>
      <c r="E5" s="5"/>
      <c r="F5" s="5"/>
      <c r="G5" s="12" t="s">
        <v>2006</v>
      </c>
      <c r="H5" s="33">
        <f>$E$13</f>
        <v>3692.5000000000005</v>
      </c>
    </row>
    <row r="6" spans="1:8" ht="15" customHeight="1">
      <c r="A6" s="13" t="s">
        <v>94</v>
      </c>
      <c r="B6" s="49">
        <v>0.31</v>
      </c>
      <c r="C6" s="49">
        <v>0.43</v>
      </c>
      <c r="D6" s="21" t="s">
        <v>2118</v>
      </c>
      <c r="E6" s="5"/>
      <c r="F6" s="5"/>
      <c r="G6" s="13" t="s">
        <v>2007</v>
      </c>
      <c r="H6" s="35">
        <f>$E$15</f>
        <v>2981.5</v>
      </c>
    </row>
    <row r="7" spans="1:8" ht="15" customHeight="1">
      <c r="A7" s="14" t="s">
        <v>427</v>
      </c>
      <c r="B7" s="50" t="s">
        <v>2119</v>
      </c>
      <c r="C7" s="50">
        <v>0.41</v>
      </c>
      <c r="D7" s="17" t="s">
        <v>2120</v>
      </c>
      <c r="E7" s="5"/>
      <c r="F7" s="5"/>
      <c r="G7" s="13" t="s">
        <v>630</v>
      </c>
      <c r="H7" s="35">
        <f>$E$16</f>
        <v>2981.5</v>
      </c>
    </row>
    <row r="8" spans="1:8" ht="15" customHeight="1">
      <c r="A8" s="5"/>
      <c r="B8" s="5"/>
      <c r="C8" s="5"/>
      <c r="D8" s="5"/>
      <c r="E8" s="5"/>
      <c r="F8" s="5"/>
      <c r="G8" s="14" t="s">
        <v>2018</v>
      </c>
      <c r="H8" s="34">
        <f>$B$13</f>
        <v>1766</v>
      </c>
    </row>
    <row r="9" spans="1:8">
      <c r="A9" s="5"/>
      <c r="B9" s="5"/>
      <c r="C9" s="5"/>
      <c r="D9" s="5"/>
      <c r="E9" s="5"/>
      <c r="F9" s="5"/>
      <c r="G9" s="5"/>
      <c r="H9" s="5"/>
    </row>
    <row r="10" spans="1:8" ht="15.75">
      <c r="A10" s="186" t="s">
        <v>2121</v>
      </c>
      <c r="B10" s="186"/>
      <c r="C10" s="186"/>
      <c r="D10" s="186"/>
      <c r="E10" s="5"/>
      <c r="F10" s="5"/>
      <c r="G10" s="5"/>
      <c r="H10" s="5"/>
    </row>
    <row r="11" spans="1:8" ht="15" customHeight="1">
      <c r="A11" s="173" t="s">
        <v>1972</v>
      </c>
      <c r="B11" s="174" t="s">
        <v>1973</v>
      </c>
      <c r="C11" s="175"/>
      <c r="D11" s="176" t="s">
        <v>1974</v>
      </c>
      <c r="E11" s="11" t="s">
        <v>1975</v>
      </c>
      <c r="F11" s="5"/>
      <c r="G11" s="5"/>
      <c r="H11" s="5"/>
    </row>
    <row r="12" spans="1:8">
      <c r="A12" s="12" t="s">
        <v>2016</v>
      </c>
      <c r="B12" s="26">
        <v>158250</v>
      </c>
      <c r="C12" s="5"/>
      <c r="D12" s="12" t="s">
        <v>2017</v>
      </c>
      <c r="E12" s="28">
        <f>$B$12/12</f>
        <v>13187.5</v>
      </c>
      <c r="F12" s="5"/>
      <c r="G12" s="5"/>
      <c r="H12" s="5"/>
    </row>
    <row r="13" spans="1:8" ht="15" customHeight="1">
      <c r="A13" s="13" t="s">
        <v>2018</v>
      </c>
      <c r="B13" s="32">
        <v>1766</v>
      </c>
      <c r="C13" s="5"/>
      <c r="D13" s="13" t="s">
        <v>2122</v>
      </c>
      <c r="E13" s="29">
        <f>$E$12*$B$14</f>
        <v>3692.5000000000005</v>
      </c>
      <c r="F13" s="5"/>
      <c r="G13" s="5"/>
      <c r="H13" s="5"/>
    </row>
    <row r="14" spans="1:8" ht="15" customHeight="1">
      <c r="A14" s="13" t="s">
        <v>353</v>
      </c>
      <c r="B14" s="36">
        <v>0.28000000000000003</v>
      </c>
      <c r="C14" s="5"/>
      <c r="D14" s="13" t="s">
        <v>2123</v>
      </c>
      <c r="E14" s="29">
        <f>$E$12*$B$15</f>
        <v>4747.5</v>
      </c>
      <c r="F14" s="5"/>
      <c r="G14" s="5"/>
      <c r="H14" s="5"/>
    </row>
    <row r="15" spans="1:8" ht="15" customHeight="1">
      <c r="A15" s="14" t="s">
        <v>354</v>
      </c>
      <c r="B15" s="37">
        <v>0.36</v>
      </c>
      <c r="C15" s="5"/>
      <c r="D15" s="13" t="s">
        <v>2124</v>
      </c>
      <c r="E15" s="29">
        <f>$E$14-$B$13</f>
        <v>2981.5</v>
      </c>
      <c r="F15" s="5"/>
      <c r="G15" s="5"/>
      <c r="H15" s="5"/>
    </row>
    <row r="16" spans="1:8" ht="15" customHeight="1">
      <c r="A16" s="5"/>
      <c r="B16" s="5"/>
      <c r="C16" s="5"/>
      <c r="D16" s="13" t="s">
        <v>2125</v>
      </c>
      <c r="E16" s="29">
        <f>MIN($E$13,$E$15)</f>
        <v>2981.5</v>
      </c>
      <c r="F16" s="5"/>
      <c r="G16" s="5"/>
      <c r="H16" s="5"/>
    </row>
    <row r="17" spans="1:8" ht="15" customHeight="1">
      <c r="A17" s="5"/>
      <c r="B17" s="5"/>
      <c r="C17" s="5"/>
      <c r="D17" s="14" t="s">
        <v>2022</v>
      </c>
      <c r="E17" s="15" t="str">
        <f>IF($E$13&lt;=$E$15,"Front","Back")</f>
        <v>Back</v>
      </c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 ht="15" customHeight="1">
      <c r="A19" s="5"/>
      <c r="B19" s="5"/>
      <c r="C19" s="5"/>
      <c r="D19" s="5"/>
      <c r="E19" s="5"/>
      <c r="F19" s="5"/>
      <c r="G19" s="5"/>
      <c r="H19" s="5"/>
    </row>
    <row r="20" spans="1:8" ht="27.95" customHeight="1">
      <c r="A20" s="123" t="s">
        <v>2126</v>
      </c>
      <c r="B20" s="190" t="s">
        <v>2127</v>
      </c>
      <c r="C20" s="190"/>
      <c r="D20" s="190"/>
      <c r="E20" s="191"/>
      <c r="F20" s="5"/>
      <c r="G20" s="5"/>
      <c r="H20" s="5"/>
    </row>
    <row r="21" spans="1:8" ht="27.95" customHeight="1">
      <c r="A21" s="123" t="s">
        <v>2128</v>
      </c>
      <c r="B21" s="190" t="s">
        <v>2129</v>
      </c>
      <c r="C21" s="190"/>
      <c r="D21" s="190"/>
      <c r="E21" s="191"/>
      <c r="F21" s="5"/>
      <c r="G21" s="5"/>
      <c r="H21" s="5"/>
    </row>
    <row r="22" spans="1:8" ht="27.95" customHeight="1">
      <c r="A22" s="123" t="s">
        <v>2130</v>
      </c>
      <c r="B22" s="190" t="s">
        <v>2131</v>
      </c>
      <c r="C22" s="190"/>
      <c r="D22" s="190"/>
      <c r="E22" s="191"/>
      <c r="F22" s="5"/>
      <c r="G22" s="5"/>
      <c r="H22" s="5"/>
    </row>
    <row r="23" spans="1:8" ht="27.95" customHeight="1">
      <c r="A23" s="123" t="s">
        <v>2132</v>
      </c>
      <c r="B23" s="190" t="s">
        <v>2133</v>
      </c>
      <c r="C23" s="190"/>
      <c r="D23" s="190"/>
      <c r="E23" s="191"/>
      <c r="F23" s="5"/>
      <c r="G23" s="5"/>
      <c r="H23" s="5"/>
    </row>
    <row r="24" spans="1:8" ht="15" customHeight="1">
      <c r="A24" s="5"/>
      <c r="B24" s="5"/>
      <c r="C24" s="5"/>
      <c r="D24" s="5"/>
      <c r="E24" s="5"/>
      <c r="F24" s="5"/>
      <c r="G24" s="5"/>
      <c r="H24" s="5"/>
    </row>
    <row r="25" spans="1:8" ht="15" customHeight="1"/>
    <row r="26" spans="1:8" ht="15.75" customHeight="1"/>
    <row r="27" spans="1:8" ht="15" customHeight="1">
      <c r="A27" s="157"/>
      <c r="B27" s="157"/>
      <c r="C27" s="157"/>
      <c r="D27" s="157"/>
    </row>
    <row r="28" spans="1:8" ht="54.75" customHeight="1">
      <c r="A28" s="157"/>
      <c r="B28" s="157"/>
      <c r="C28" s="157"/>
      <c r="D28" s="157"/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:H1"/>
    <mergeCell ref="A2:H2"/>
    <mergeCell ref="B20:E20"/>
    <mergeCell ref="B21:E21"/>
    <mergeCell ref="B22:E22"/>
    <mergeCell ref="A3:D3"/>
    <mergeCell ref="A11:D11"/>
    <mergeCell ref="A27:D27"/>
    <mergeCell ref="A28:D28"/>
    <mergeCell ref="A10:D10"/>
    <mergeCell ref="B23:E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4.42578125" defaultRowHeight="15"/>
  <cols>
    <col min="1" max="1" width="28" customWidth="1"/>
    <col min="2" max="2" width="70" customWidth="1"/>
    <col min="3" max="26" width="8.7109375" customWidth="1"/>
  </cols>
  <sheetData>
    <row r="1" spans="1:2" ht="19.149999999999999" customHeight="1">
      <c r="A1" s="155" t="s">
        <v>21</v>
      </c>
      <c r="B1" s="156"/>
    </row>
    <row r="2" spans="1:2">
      <c r="A2" s="56"/>
      <c r="B2" s="57"/>
    </row>
    <row r="3" spans="1:2" ht="15" customHeight="1">
      <c r="A3" s="82" t="s">
        <v>570</v>
      </c>
      <c r="B3" s="83" t="s">
        <v>571</v>
      </c>
    </row>
    <row r="4" spans="1:2" ht="15" customHeight="1">
      <c r="A4" s="91" t="s">
        <v>413</v>
      </c>
      <c r="B4" s="84" t="s">
        <v>572</v>
      </c>
    </row>
    <row r="5" spans="1:2" ht="24" customHeight="1">
      <c r="A5" s="92" t="s">
        <v>416</v>
      </c>
      <c r="B5" s="86" t="s">
        <v>573</v>
      </c>
    </row>
    <row r="6" spans="1:2" ht="24" customHeight="1">
      <c r="A6" s="91" t="s">
        <v>418</v>
      </c>
      <c r="B6" s="84" t="s">
        <v>574</v>
      </c>
    </row>
    <row r="7" spans="1:2" ht="24" customHeight="1">
      <c r="A7" s="92" t="s">
        <v>93</v>
      </c>
      <c r="B7" s="86" t="s">
        <v>575</v>
      </c>
    </row>
    <row r="8" spans="1:2" ht="15" customHeight="1">
      <c r="A8" s="91" t="s">
        <v>379</v>
      </c>
      <c r="B8" s="84" t="s">
        <v>576</v>
      </c>
    </row>
    <row r="9" spans="1:2" ht="15" customHeight="1">
      <c r="A9" s="92" t="s">
        <v>86</v>
      </c>
      <c r="B9" s="86" t="s">
        <v>577</v>
      </c>
    </row>
    <row r="10" spans="1:2" ht="15" customHeight="1">
      <c r="A10" s="91" t="s">
        <v>85</v>
      </c>
      <c r="B10" s="84" t="s">
        <v>578</v>
      </c>
    </row>
    <row r="11" spans="1:2" ht="15" customHeight="1">
      <c r="A11" s="92" t="s">
        <v>87</v>
      </c>
      <c r="B11" s="86" t="s">
        <v>579</v>
      </c>
    </row>
    <row r="12" spans="1:2" ht="24" customHeight="1">
      <c r="A12" s="91" t="s">
        <v>447</v>
      </c>
      <c r="B12" s="84" t="s">
        <v>580</v>
      </c>
    </row>
    <row r="13" spans="1:2" ht="15" customHeight="1">
      <c r="A13" s="92" t="s">
        <v>88</v>
      </c>
      <c r="B13" s="86" t="s">
        <v>581</v>
      </c>
    </row>
    <row r="14" spans="1:2" ht="15" customHeight="1">
      <c r="A14" s="91" t="s">
        <v>104</v>
      </c>
      <c r="B14" s="84" t="s">
        <v>582</v>
      </c>
    </row>
    <row r="15" spans="1:2" ht="15" customHeight="1">
      <c r="A15" s="92" t="s">
        <v>109</v>
      </c>
      <c r="B15" s="86" t="s">
        <v>583</v>
      </c>
    </row>
    <row r="16" spans="1:2" ht="15" customHeight="1">
      <c r="A16" s="91" t="s">
        <v>56</v>
      </c>
      <c r="B16" s="84" t="s">
        <v>584</v>
      </c>
    </row>
    <row r="17" spans="1:2" ht="15" customHeight="1">
      <c r="A17" s="92" t="s">
        <v>65</v>
      </c>
      <c r="B17" s="86" t="s">
        <v>585</v>
      </c>
    </row>
    <row r="18" spans="1:2" ht="24" customHeight="1">
      <c r="A18" s="91" t="s">
        <v>586</v>
      </c>
      <c r="B18" s="84" t="s">
        <v>587</v>
      </c>
    </row>
    <row r="19" spans="1:2" ht="15" customHeight="1">
      <c r="A19" s="92" t="s">
        <v>62</v>
      </c>
      <c r="B19" s="86" t="s">
        <v>588</v>
      </c>
    </row>
    <row r="20" spans="1:2" ht="15" customHeight="1">
      <c r="A20" s="91" t="s">
        <v>589</v>
      </c>
      <c r="B20" s="84" t="s">
        <v>590</v>
      </c>
    </row>
    <row r="21" spans="1:2" ht="15" customHeight="1">
      <c r="A21" s="92" t="s">
        <v>376</v>
      </c>
      <c r="B21" s="86" t="s">
        <v>591</v>
      </c>
    </row>
    <row r="22" spans="1:2" ht="15" customHeight="1">
      <c r="A22" s="91" t="s">
        <v>378</v>
      </c>
      <c r="B22" s="84" t="s">
        <v>592</v>
      </c>
    </row>
    <row r="23" spans="1:2" ht="15" customHeight="1">
      <c r="A23" s="92" t="s">
        <v>161</v>
      </c>
      <c r="B23" s="86" t="s">
        <v>593</v>
      </c>
    </row>
    <row r="24" spans="1:2" ht="15" customHeight="1">
      <c r="A24" s="91" t="s">
        <v>159</v>
      </c>
      <c r="B24" s="84" t="s">
        <v>594</v>
      </c>
    </row>
    <row r="25" spans="1:2" ht="15" customHeight="1">
      <c r="A25" s="92" t="s">
        <v>160</v>
      </c>
      <c r="B25" s="86" t="s">
        <v>595</v>
      </c>
    </row>
    <row r="26" spans="1:2" ht="15" customHeight="1">
      <c r="A26" s="91" t="s">
        <v>475</v>
      </c>
      <c r="B26" s="84" t="s">
        <v>596</v>
      </c>
    </row>
    <row r="27" spans="1:2" ht="15" customHeight="1">
      <c r="A27" s="92" t="s">
        <v>477</v>
      </c>
      <c r="B27" s="86" t="s">
        <v>597</v>
      </c>
    </row>
    <row r="28" spans="1:2" ht="15" customHeight="1">
      <c r="A28" s="91" t="s">
        <v>363</v>
      </c>
      <c r="B28" s="84" t="s">
        <v>598</v>
      </c>
    </row>
    <row r="29" spans="1:2" ht="15" customHeight="1">
      <c r="A29" s="92" t="s">
        <v>486</v>
      </c>
      <c r="B29" s="86" t="s">
        <v>599</v>
      </c>
    </row>
    <row r="30" spans="1:2" ht="15" customHeight="1">
      <c r="A30" s="91" t="s">
        <v>167</v>
      </c>
      <c r="B30" s="84" t="s">
        <v>600</v>
      </c>
    </row>
    <row r="31" spans="1:2" ht="15" customHeight="1">
      <c r="A31" s="92" t="s">
        <v>491</v>
      </c>
      <c r="B31" s="86" t="s">
        <v>601</v>
      </c>
    </row>
    <row r="32" spans="1:2" ht="15" customHeight="1">
      <c r="A32" s="91" t="s">
        <v>602</v>
      </c>
      <c r="B32" s="84" t="s">
        <v>603</v>
      </c>
    </row>
    <row r="33" spans="1:2" ht="15" customHeight="1">
      <c r="A33" s="92" t="s">
        <v>495</v>
      </c>
      <c r="B33" s="86" t="s">
        <v>604</v>
      </c>
    </row>
    <row r="34" spans="1:2" ht="15" customHeight="1">
      <c r="A34" s="91" t="s">
        <v>181</v>
      </c>
      <c r="B34" s="84" t="s">
        <v>605</v>
      </c>
    </row>
    <row r="35" spans="1:2" ht="15" customHeight="1">
      <c r="A35" s="92" t="s">
        <v>509</v>
      </c>
      <c r="B35" s="86" t="s">
        <v>606</v>
      </c>
    </row>
    <row r="36" spans="1:2" ht="15" customHeight="1">
      <c r="A36" s="91" t="s">
        <v>511</v>
      </c>
      <c r="B36" s="84" t="s">
        <v>607</v>
      </c>
    </row>
    <row r="37" spans="1:2" ht="15" customHeight="1">
      <c r="A37" s="92" t="s">
        <v>182</v>
      </c>
      <c r="B37" s="86" t="s">
        <v>608</v>
      </c>
    </row>
    <row r="38" spans="1:2" ht="15" customHeight="1">
      <c r="A38" s="91" t="s">
        <v>609</v>
      </c>
      <c r="B38" s="84" t="s">
        <v>610</v>
      </c>
    </row>
    <row r="39" spans="1:2" ht="15" customHeight="1">
      <c r="A39" s="92" t="s">
        <v>248</v>
      </c>
      <c r="B39" s="86" t="s">
        <v>253</v>
      </c>
    </row>
    <row r="40" spans="1:2" ht="15" customHeight="1">
      <c r="A40" s="91" t="s">
        <v>257</v>
      </c>
      <c r="B40" s="84" t="s">
        <v>611</v>
      </c>
    </row>
    <row r="41" spans="1:2" ht="15" customHeight="1">
      <c r="A41" s="92" t="s">
        <v>500</v>
      </c>
      <c r="B41" s="86" t="s">
        <v>612</v>
      </c>
    </row>
    <row r="42" spans="1:2" ht="15" customHeight="1">
      <c r="A42" s="91" t="s">
        <v>256</v>
      </c>
      <c r="B42" s="84" t="s">
        <v>613</v>
      </c>
    </row>
    <row r="43" spans="1:2" ht="24" customHeight="1">
      <c r="A43" s="92" t="s">
        <v>249</v>
      </c>
      <c r="B43" s="86" t="s">
        <v>614</v>
      </c>
    </row>
    <row r="44" spans="1:2" ht="15" customHeight="1">
      <c r="A44" s="91" t="s">
        <v>255</v>
      </c>
      <c r="B44" s="84" t="s">
        <v>615</v>
      </c>
    </row>
    <row r="45" spans="1:2" ht="15" customHeight="1">
      <c r="A45" s="92" t="s">
        <v>258</v>
      </c>
      <c r="B45" s="86" t="s">
        <v>616</v>
      </c>
    </row>
    <row r="46" spans="1:2" ht="15" customHeight="1">
      <c r="A46" s="91" t="s">
        <v>262</v>
      </c>
      <c r="B46" s="84" t="s">
        <v>617</v>
      </c>
    </row>
    <row r="47" spans="1:2" ht="24" customHeight="1">
      <c r="A47" s="92" t="s">
        <v>618</v>
      </c>
      <c r="B47" s="86" t="s">
        <v>619</v>
      </c>
    </row>
    <row r="48" spans="1:2" ht="15" customHeight="1">
      <c r="A48" s="91" t="s">
        <v>620</v>
      </c>
      <c r="B48" s="84" t="s">
        <v>621</v>
      </c>
    </row>
    <row r="49" spans="1:2" ht="15" customHeight="1">
      <c r="A49" s="92" t="s">
        <v>622</v>
      </c>
      <c r="B49" s="86" t="s">
        <v>623</v>
      </c>
    </row>
    <row r="50" spans="1:2" ht="15" customHeight="1">
      <c r="A50" s="91" t="s">
        <v>624</v>
      </c>
      <c r="B50" s="84" t="s">
        <v>625</v>
      </c>
    </row>
    <row r="51" spans="1:2" ht="15" customHeight="1">
      <c r="A51" s="92" t="s">
        <v>626</v>
      </c>
      <c r="B51" s="86" t="s">
        <v>627</v>
      </c>
    </row>
    <row r="52" spans="1:2" ht="15" customHeight="1">
      <c r="A52" s="91" t="s">
        <v>628</v>
      </c>
      <c r="B52" s="84" t="s">
        <v>629</v>
      </c>
    </row>
    <row r="53" spans="1:2" ht="15" customHeight="1">
      <c r="A53" s="92" t="s">
        <v>630</v>
      </c>
      <c r="B53" s="86" t="s">
        <v>631</v>
      </c>
    </row>
    <row r="54" spans="1:2" ht="24" customHeight="1">
      <c r="A54" s="91" t="s">
        <v>632</v>
      </c>
      <c r="B54" s="84" t="s">
        <v>633</v>
      </c>
    </row>
    <row r="55" spans="1:2" ht="15" customHeight="1">
      <c r="A55" s="92" t="s">
        <v>634</v>
      </c>
      <c r="B55" s="86" t="s">
        <v>635</v>
      </c>
    </row>
    <row r="56" spans="1:2" ht="24" customHeight="1">
      <c r="A56" s="91" t="s">
        <v>636</v>
      </c>
      <c r="B56" s="84" t="s">
        <v>637</v>
      </c>
    </row>
    <row r="57" spans="1:2" ht="15" customHeight="1">
      <c r="A57" s="92" t="s">
        <v>638</v>
      </c>
      <c r="B57" s="86" t="s">
        <v>639</v>
      </c>
    </row>
    <row r="58" spans="1:2" ht="15" customHeight="1">
      <c r="A58" s="91" t="s">
        <v>640</v>
      </c>
      <c r="B58" s="84" t="s">
        <v>641</v>
      </c>
    </row>
    <row r="59" spans="1:2" ht="15" customHeight="1">
      <c r="A59" s="92" t="s">
        <v>642</v>
      </c>
      <c r="B59" s="86" t="s">
        <v>643</v>
      </c>
    </row>
    <row r="60" spans="1:2" ht="24" customHeight="1">
      <c r="A60" s="91" t="s">
        <v>370</v>
      </c>
      <c r="B60" s="84" t="s">
        <v>644</v>
      </c>
    </row>
    <row r="61" spans="1:2" ht="15" customHeight="1">
      <c r="A61" s="92" t="s">
        <v>645</v>
      </c>
      <c r="B61" s="86" t="s">
        <v>646</v>
      </c>
    </row>
    <row r="62" spans="1:2" ht="15" customHeight="1">
      <c r="A62" s="91" t="s">
        <v>527</v>
      </c>
      <c r="B62" s="84" t="s">
        <v>647</v>
      </c>
    </row>
    <row r="63" spans="1:2" ht="15" customHeight="1">
      <c r="A63" s="92" t="s">
        <v>648</v>
      </c>
      <c r="B63" s="86" t="s">
        <v>649</v>
      </c>
    </row>
    <row r="64" spans="1:2" ht="15" customHeight="1">
      <c r="A64" s="91" t="s">
        <v>650</v>
      </c>
      <c r="B64" s="84" t="s">
        <v>651</v>
      </c>
    </row>
    <row r="65" spans="1:2" ht="15" customHeight="1">
      <c r="A65" s="92" t="s">
        <v>652</v>
      </c>
      <c r="B65" s="86" t="s">
        <v>653</v>
      </c>
    </row>
    <row r="66" spans="1:2" ht="24" customHeight="1">
      <c r="A66" s="91" t="s">
        <v>654</v>
      </c>
      <c r="B66" s="84" t="s">
        <v>655</v>
      </c>
    </row>
    <row r="67" spans="1:2" ht="24" customHeight="1">
      <c r="A67" s="92" t="s">
        <v>656</v>
      </c>
      <c r="B67" s="86" t="s">
        <v>657</v>
      </c>
    </row>
    <row r="68" spans="1:2" ht="15" customHeight="1">
      <c r="A68" s="91" t="s">
        <v>658</v>
      </c>
      <c r="B68" s="84" t="s">
        <v>659</v>
      </c>
    </row>
    <row r="69" spans="1:2" ht="24" customHeight="1">
      <c r="A69" s="92" t="s">
        <v>388</v>
      </c>
      <c r="B69" s="86" t="s">
        <v>660</v>
      </c>
    </row>
    <row r="70" spans="1:2" ht="24" customHeight="1">
      <c r="A70" s="91" t="s">
        <v>661</v>
      </c>
      <c r="B70" s="84" t="s">
        <v>662</v>
      </c>
    </row>
    <row r="71" spans="1:2" ht="24" customHeight="1">
      <c r="A71" s="92" t="s">
        <v>663</v>
      </c>
      <c r="B71" s="86" t="s">
        <v>664</v>
      </c>
    </row>
    <row r="72" spans="1:2" ht="24" customHeight="1">
      <c r="A72" s="91" t="s">
        <v>665</v>
      </c>
      <c r="B72" s="84" t="s">
        <v>666</v>
      </c>
    </row>
    <row r="73" spans="1:2" ht="24" customHeight="1">
      <c r="A73" s="92" t="s">
        <v>667</v>
      </c>
      <c r="B73" s="86" t="s">
        <v>668</v>
      </c>
    </row>
    <row r="74" spans="1:2" ht="24" customHeight="1">
      <c r="A74" s="91" t="s">
        <v>669</v>
      </c>
      <c r="B74" s="84" t="s">
        <v>670</v>
      </c>
    </row>
    <row r="75" spans="1:2" ht="16.7" customHeight="1">
      <c r="A75" s="76" t="s">
        <v>2134</v>
      </c>
      <c r="B75" s="77"/>
    </row>
    <row r="76" spans="1:2" ht="15" customHeight="1">
      <c r="A76" s="63" t="s">
        <v>570</v>
      </c>
      <c r="B76" s="64" t="s">
        <v>571</v>
      </c>
    </row>
    <row r="77" spans="1:2" ht="15" customHeight="1">
      <c r="A77" s="56" t="s">
        <v>2135</v>
      </c>
      <c r="B77" s="57" t="s">
        <v>2136</v>
      </c>
    </row>
    <row r="78" spans="1:2" ht="26.45" customHeight="1">
      <c r="A78" s="56" t="s">
        <v>895</v>
      </c>
      <c r="B78" s="57" t="s">
        <v>2137</v>
      </c>
    </row>
    <row r="79" spans="1:2" ht="26.45" customHeight="1">
      <c r="A79" s="56" t="s">
        <v>715</v>
      </c>
      <c r="B79" s="57" t="s">
        <v>2138</v>
      </c>
    </row>
    <row r="80" spans="1:2" ht="26.45" customHeight="1">
      <c r="A80" s="56" t="s">
        <v>2139</v>
      </c>
      <c r="B80" s="57" t="s">
        <v>2140</v>
      </c>
    </row>
    <row r="81" spans="1:2" ht="15" customHeight="1">
      <c r="A81" s="56" t="s">
        <v>2141</v>
      </c>
      <c r="B81" s="57" t="s">
        <v>2142</v>
      </c>
    </row>
    <row r="82" spans="1:2" ht="26.45" customHeight="1">
      <c r="A82" s="56" t="s">
        <v>2143</v>
      </c>
      <c r="B82" s="57" t="s">
        <v>2144</v>
      </c>
    </row>
    <row r="83" spans="1:2" ht="15" customHeight="1">
      <c r="A83" s="56" t="s">
        <v>2145</v>
      </c>
      <c r="B83" s="57" t="s">
        <v>2146</v>
      </c>
    </row>
    <row r="84" spans="1:2" ht="15" customHeight="1">
      <c r="A84" s="56" t="s">
        <v>742</v>
      </c>
      <c r="B84" s="57" t="s">
        <v>2147</v>
      </c>
    </row>
    <row r="85" spans="1:2" ht="15" customHeight="1">
      <c r="A85" s="56" t="s">
        <v>747</v>
      </c>
      <c r="B85" s="57" t="s">
        <v>2148</v>
      </c>
    </row>
    <row r="86" spans="1:2" ht="15" customHeight="1">
      <c r="A86" s="56" t="s">
        <v>2149</v>
      </c>
      <c r="B86" s="57" t="s">
        <v>2150</v>
      </c>
    </row>
    <row r="87" spans="1:2" ht="15" customHeight="1">
      <c r="A87" s="56" t="s">
        <v>2151</v>
      </c>
      <c r="B87" s="57" t="s">
        <v>2152</v>
      </c>
    </row>
    <row r="88" spans="1:2" ht="15" customHeight="1">
      <c r="A88" s="56" t="s">
        <v>2153</v>
      </c>
      <c r="B88" s="57" t="s">
        <v>2154</v>
      </c>
    </row>
    <row r="89" spans="1:2" ht="15" customHeight="1">
      <c r="A89" s="56" t="s">
        <v>763</v>
      </c>
      <c r="B89" s="57" t="s">
        <v>2155</v>
      </c>
    </row>
    <row r="90" spans="1:2" ht="15" customHeight="1">
      <c r="A90" s="56" t="s">
        <v>2156</v>
      </c>
      <c r="B90" s="57" t="s">
        <v>2157</v>
      </c>
    </row>
    <row r="91" spans="1:2" ht="15" customHeight="1">
      <c r="A91" s="56" t="s">
        <v>803</v>
      </c>
      <c r="B91" s="57" t="s">
        <v>2158</v>
      </c>
    </row>
    <row r="92" spans="1:2" ht="26.45" customHeight="1">
      <c r="A92" s="56" t="s">
        <v>2159</v>
      </c>
      <c r="B92" s="57" t="s">
        <v>2160</v>
      </c>
    </row>
    <row r="93" spans="1:2" ht="15" customHeight="1">
      <c r="A93" s="56" t="s">
        <v>2161</v>
      </c>
      <c r="B93" s="57" t="s">
        <v>2162</v>
      </c>
    </row>
    <row r="94" spans="1:2" ht="15" customHeight="1">
      <c r="A94" s="80" t="s">
        <v>1301</v>
      </c>
      <c r="B94" s="67" t="s">
        <v>2163</v>
      </c>
    </row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1"/>
  <sheetViews>
    <sheetView workbookViewId="0"/>
  </sheetViews>
  <sheetFormatPr defaultRowHeight="15"/>
  <cols>
    <col min="1" max="1" width="18" customWidth="1"/>
    <col min="2" max="2" width="26" customWidth="1"/>
    <col min="3" max="3" width="45" customWidth="1"/>
    <col min="4" max="4" width="30" customWidth="1"/>
    <col min="5" max="8" width="15" customWidth="1"/>
    <col min="9" max="9" width="20" customWidth="1"/>
    <col min="10" max="10" width="42" customWidth="1"/>
  </cols>
  <sheetData>
    <row r="1" spans="1:10" ht="16.7" customHeight="1">
      <c r="A1" s="193" t="s">
        <v>2164</v>
      </c>
      <c r="B1" s="162"/>
      <c r="C1" s="162"/>
      <c r="D1" s="162"/>
      <c r="E1" s="162"/>
      <c r="F1" s="162"/>
      <c r="G1" s="162"/>
      <c r="H1" s="162"/>
      <c r="I1" s="107"/>
      <c r="J1" s="108"/>
    </row>
    <row r="2" spans="1:10" ht="15" customHeight="1">
      <c r="A2" s="104" t="s">
        <v>2165</v>
      </c>
      <c r="B2" s="102"/>
      <c r="C2" s="102"/>
      <c r="D2" s="102"/>
      <c r="E2" s="102"/>
      <c r="F2" s="102"/>
      <c r="G2" s="102"/>
      <c r="H2" s="102"/>
      <c r="I2" s="46"/>
      <c r="J2" s="94"/>
    </row>
    <row r="3" spans="1:10" ht="15" customHeight="1">
      <c r="A3" s="114"/>
      <c r="B3" s="112"/>
      <c r="C3" s="112"/>
      <c r="D3" s="112"/>
      <c r="E3" s="112"/>
      <c r="F3" s="112"/>
      <c r="G3" s="112"/>
      <c r="H3" s="112"/>
      <c r="I3" s="112"/>
      <c r="J3" s="113"/>
    </row>
    <row r="4" spans="1:10" ht="15" customHeight="1">
      <c r="A4" s="105" t="s">
        <v>2166</v>
      </c>
      <c r="B4" s="103" t="s">
        <v>2167</v>
      </c>
      <c r="C4" s="46"/>
      <c r="D4" s="46"/>
      <c r="E4" s="46"/>
      <c r="F4" s="46"/>
      <c r="G4" s="46"/>
      <c r="H4" s="46"/>
      <c r="I4" s="46"/>
      <c r="J4" s="94"/>
    </row>
    <row r="5" spans="1:10" ht="15" customHeight="1">
      <c r="A5" s="95" t="s">
        <v>2168</v>
      </c>
      <c r="B5" s="46">
        <f>COUNTA(B9:B39)</f>
        <v>31</v>
      </c>
      <c r="C5" s="46"/>
      <c r="D5" s="46"/>
      <c r="E5" s="46"/>
      <c r="F5" s="46"/>
      <c r="G5" s="46"/>
      <c r="H5" s="46"/>
      <c r="I5" s="46"/>
      <c r="J5" s="94"/>
    </row>
    <row r="6" spans="1:10" ht="15" customHeight="1">
      <c r="A6" s="95" t="s">
        <v>2169</v>
      </c>
      <c r="B6" s="46">
        <v>15</v>
      </c>
      <c r="C6" s="46"/>
      <c r="D6" s="46"/>
      <c r="E6" s="46"/>
      <c r="F6" s="46"/>
      <c r="G6" s="46"/>
      <c r="H6" s="46"/>
      <c r="I6" s="46"/>
      <c r="J6" s="94"/>
    </row>
    <row r="7" spans="1:10" ht="15" customHeight="1">
      <c r="A7" s="95" t="s">
        <v>2170</v>
      </c>
      <c r="B7" s="46" t="s">
        <v>2171</v>
      </c>
      <c r="C7" s="46"/>
      <c r="D7" s="46"/>
      <c r="E7" s="46"/>
      <c r="F7" s="46"/>
      <c r="G7" s="46"/>
      <c r="H7" s="46"/>
      <c r="I7" s="46"/>
      <c r="J7" s="94"/>
    </row>
    <row r="8" spans="1:10" ht="15" customHeight="1">
      <c r="A8" s="95"/>
      <c r="B8" s="46"/>
      <c r="C8" s="46"/>
      <c r="D8" s="46"/>
      <c r="E8" s="46"/>
      <c r="F8" s="46"/>
      <c r="G8" s="46"/>
      <c r="H8" s="46"/>
      <c r="I8" s="46"/>
      <c r="J8" s="94"/>
    </row>
    <row r="9" spans="1:10" ht="15" customHeight="1">
      <c r="A9" s="105" t="s">
        <v>688</v>
      </c>
      <c r="B9" s="103" t="s">
        <v>689</v>
      </c>
      <c r="C9" s="103" t="s">
        <v>690</v>
      </c>
      <c r="D9" s="103" t="s">
        <v>691</v>
      </c>
      <c r="E9" s="103" t="s">
        <v>692</v>
      </c>
      <c r="F9" s="103" t="s">
        <v>693</v>
      </c>
      <c r="G9" s="103" t="s">
        <v>694</v>
      </c>
      <c r="H9" s="103" t="s">
        <v>695</v>
      </c>
      <c r="I9" s="46"/>
      <c r="J9" s="94"/>
    </row>
    <row r="10" spans="1:10" ht="26.45" customHeight="1">
      <c r="A10" s="95" t="s">
        <v>696</v>
      </c>
      <c r="B10" s="46" t="s">
        <v>697</v>
      </c>
      <c r="C10" s="46" t="s">
        <v>698</v>
      </c>
      <c r="D10" s="46" t="s">
        <v>699</v>
      </c>
      <c r="E10" s="46" t="s">
        <v>700</v>
      </c>
      <c r="F10" s="46" t="s">
        <v>701</v>
      </c>
      <c r="G10" s="46" t="s">
        <v>702</v>
      </c>
      <c r="H10" s="46" t="s">
        <v>703</v>
      </c>
      <c r="I10" s="46"/>
      <c r="J10" s="94"/>
    </row>
    <row r="11" spans="1:10" ht="26.45" customHeight="1">
      <c r="A11" s="95" t="s">
        <v>696</v>
      </c>
      <c r="B11" s="46" t="s">
        <v>704</v>
      </c>
      <c r="C11" s="46" t="s">
        <v>705</v>
      </c>
      <c r="D11" s="46" t="s">
        <v>706</v>
      </c>
      <c r="E11" s="46" t="s">
        <v>700</v>
      </c>
      <c r="F11" s="46" t="s">
        <v>707</v>
      </c>
      <c r="G11" s="46" t="s">
        <v>702</v>
      </c>
      <c r="H11" s="46" t="s">
        <v>703</v>
      </c>
      <c r="I11" s="46"/>
      <c r="J11" s="94"/>
    </row>
    <row r="12" spans="1:10" ht="26.45" customHeight="1">
      <c r="A12" s="95" t="s">
        <v>696</v>
      </c>
      <c r="B12" s="46" t="s">
        <v>708</v>
      </c>
      <c r="C12" s="46" t="s">
        <v>709</v>
      </c>
      <c r="D12" s="46" t="s">
        <v>710</v>
      </c>
      <c r="E12" s="46" t="s">
        <v>700</v>
      </c>
      <c r="F12" s="46" t="s">
        <v>707</v>
      </c>
      <c r="G12" s="46" t="s">
        <v>711</v>
      </c>
      <c r="H12" s="46" t="s">
        <v>703</v>
      </c>
      <c r="I12" s="46"/>
      <c r="J12" s="94"/>
    </row>
    <row r="13" spans="1:10" ht="26.45" customHeight="1">
      <c r="A13" s="95" t="s">
        <v>696</v>
      </c>
      <c r="B13" s="46" t="s">
        <v>712</v>
      </c>
      <c r="C13" s="46" t="s">
        <v>713</v>
      </c>
      <c r="D13" s="46" t="s">
        <v>714</v>
      </c>
      <c r="E13" s="46" t="s">
        <v>700</v>
      </c>
      <c r="F13" s="46" t="s">
        <v>701</v>
      </c>
      <c r="G13" s="46" t="s">
        <v>711</v>
      </c>
      <c r="H13" s="46" t="s">
        <v>703</v>
      </c>
      <c r="I13" s="46"/>
      <c r="J13" s="94"/>
    </row>
    <row r="14" spans="1:10" ht="52.7" customHeight="1">
      <c r="A14" s="95" t="s">
        <v>696</v>
      </c>
      <c r="B14" s="46" t="s">
        <v>715</v>
      </c>
      <c r="C14" s="46" t="s">
        <v>716</v>
      </c>
      <c r="D14" s="46" t="s">
        <v>717</v>
      </c>
      <c r="E14" s="46" t="s">
        <v>700</v>
      </c>
      <c r="F14" s="46" t="s">
        <v>701</v>
      </c>
      <c r="G14" s="46" t="s">
        <v>711</v>
      </c>
      <c r="H14" s="46" t="s">
        <v>703</v>
      </c>
      <c r="I14" s="46"/>
      <c r="J14" s="94"/>
    </row>
    <row r="15" spans="1:10" ht="39.6" customHeight="1">
      <c r="A15" s="95" t="s">
        <v>696</v>
      </c>
      <c r="B15" s="46" t="s">
        <v>718</v>
      </c>
      <c r="C15" s="46" t="s">
        <v>719</v>
      </c>
      <c r="D15" s="46" t="s">
        <v>720</v>
      </c>
      <c r="E15" s="46" t="s">
        <v>700</v>
      </c>
      <c r="F15" s="46" t="s">
        <v>721</v>
      </c>
      <c r="G15" s="46" t="s">
        <v>711</v>
      </c>
      <c r="H15" s="46" t="s">
        <v>703</v>
      </c>
      <c r="I15" s="46"/>
      <c r="J15" s="94"/>
    </row>
    <row r="16" spans="1:10" ht="39.6" customHeight="1">
      <c r="A16" s="95" t="s">
        <v>696</v>
      </c>
      <c r="B16" s="46" t="s">
        <v>722</v>
      </c>
      <c r="C16" s="46" t="s">
        <v>723</v>
      </c>
      <c r="D16" s="46" t="s">
        <v>724</v>
      </c>
      <c r="E16" s="46" t="s">
        <v>700</v>
      </c>
      <c r="F16" s="46" t="s">
        <v>707</v>
      </c>
      <c r="G16" s="46" t="s">
        <v>711</v>
      </c>
      <c r="H16" s="46" t="s">
        <v>703</v>
      </c>
      <c r="I16" s="46"/>
      <c r="J16" s="94"/>
    </row>
    <row r="17" spans="1:10" ht="52.7" customHeight="1">
      <c r="A17" s="95" t="s">
        <v>696</v>
      </c>
      <c r="B17" s="46" t="s">
        <v>725</v>
      </c>
      <c r="C17" s="46" t="s">
        <v>726</v>
      </c>
      <c r="D17" s="46" t="s">
        <v>727</v>
      </c>
      <c r="E17" s="46" t="s">
        <v>700</v>
      </c>
      <c r="F17" s="46" t="s">
        <v>701</v>
      </c>
      <c r="G17" s="46" t="s">
        <v>728</v>
      </c>
      <c r="H17" s="46" t="s">
        <v>703</v>
      </c>
      <c r="I17" s="46"/>
      <c r="J17" s="94"/>
    </row>
    <row r="18" spans="1:10" ht="39.6" customHeight="1">
      <c r="A18" s="95" t="s">
        <v>696</v>
      </c>
      <c r="B18" s="46" t="s">
        <v>729</v>
      </c>
      <c r="C18" s="46" t="s">
        <v>730</v>
      </c>
      <c r="D18" s="46" t="s">
        <v>731</v>
      </c>
      <c r="E18" s="46" t="s">
        <v>700</v>
      </c>
      <c r="F18" s="46" t="s">
        <v>701</v>
      </c>
      <c r="G18" s="46" t="s">
        <v>711</v>
      </c>
      <c r="H18" s="46" t="s">
        <v>703</v>
      </c>
      <c r="I18" s="46"/>
      <c r="J18" s="94"/>
    </row>
    <row r="19" spans="1:10" ht="39.6" customHeight="1">
      <c r="A19" s="95" t="s">
        <v>696</v>
      </c>
      <c r="B19" s="46" t="s">
        <v>732</v>
      </c>
      <c r="C19" s="46" t="s">
        <v>733</v>
      </c>
      <c r="D19" s="46" t="s">
        <v>734</v>
      </c>
      <c r="E19" s="46" t="s">
        <v>700</v>
      </c>
      <c r="F19" s="46" t="s">
        <v>701</v>
      </c>
      <c r="G19" s="46" t="s">
        <v>711</v>
      </c>
      <c r="H19" s="46" t="s">
        <v>703</v>
      </c>
      <c r="I19" s="46"/>
      <c r="J19" s="94"/>
    </row>
    <row r="20" spans="1:10" ht="39.6" customHeight="1">
      <c r="A20" s="95" t="s">
        <v>696</v>
      </c>
      <c r="B20" s="46" t="s">
        <v>735</v>
      </c>
      <c r="C20" s="46" t="s">
        <v>736</v>
      </c>
      <c r="D20" s="46" t="s">
        <v>737</v>
      </c>
      <c r="E20" s="46" t="s">
        <v>700</v>
      </c>
      <c r="F20" s="46" t="s">
        <v>707</v>
      </c>
      <c r="G20" s="46" t="s">
        <v>711</v>
      </c>
      <c r="H20" s="46" t="s">
        <v>703</v>
      </c>
      <c r="I20" s="46"/>
      <c r="J20" s="94"/>
    </row>
    <row r="21" spans="1:10" ht="26.45" customHeight="1">
      <c r="A21" s="95" t="s">
        <v>696</v>
      </c>
      <c r="B21" s="46" t="s">
        <v>738</v>
      </c>
      <c r="C21" s="46" t="s">
        <v>739</v>
      </c>
      <c r="D21" s="46" t="s">
        <v>740</v>
      </c>
      <c r="E21" s="46" t="s">
        <v>700</v>
      </c>
      <c r="F21" s="46" t="s">
        <v>707</v>
      </c>
      <c r="G21" s="46" t="s">
        <v>711</v>
      </c>
      <c r="H21" s="46" t="s">
        <v>703</v>
      </c>
      <c r="I21" s="46"/>
      <c r="J21" s="94"/>
    </row>
    <row r="22" spans="1:10" ht="39.6" customHeight="1">
      <c r="A22" s="95" t="s">
        <v>741</v>
      </c>
      <c r="B22" s="46" t="s">
        <v>742</v>
      </c>
      <c r="C22" s="46" t="s">
        <v>743</v>
      </c>
      <c r="D22" s="46" t="s">
        <v>744</v>
      </c>
      <c r="E22" s="46" t="s">
        <v>700</v>
      </c>
      <c r="F22" s="46" t="s">
        <v>745</v>
      </c>
      <c r="G22" s="46" t="s">
        <v>746</v>
      </c>
      <c r="H22" s="46" t="s">
        <v>703</v>
      </c>
      <c r="I22" s="46"/>
      <c r="J22" s="94"/>
    </row>
    <row r="23" spans="1:10" ht="26.45" customHeight="1">
      <c r="A23" s="95" t="s">
        <v>741</v>
      </c>
      <c r="B23" s="46" t="s">
        <v>747</v>
      </c>
      <c r="C23" s="46" t="s">
        <v>748</v>
      </c>
      <c r="D23" s="46" t="s">
        <v>749</v>
      </c>
      <c r="E23" s="46" t="s">
        <v>700</v>
      </c>
      <c r="F23" s="46" t="s">
        <v>745</v>
      </c>
      <c r="G23" s="46" t="s">
        <v>746</v>
      </c>
      <c r="H23" s="46" t="s">
        <v>703</v>
      </c>
      <c r="I23" s="46"/>
      <c r="J23" s="94"/>
    </row>
    <row r="24" spans="1:10" ht="26.45" customHeight="1">
      <c r="A24" s="95" t="s">
        <v>741</v>
      </c>
      <c r="B24" s="46" t="s">
        <v>750</v>
      </c>
      <c r="C24" s="46" t="s">
        <v>751</v>
      </c>
      <c r="D24" s="46" t="s">
        <v>752</v>
      </c>
      <c r="E24" s="46" t="s">
        <v>700</v>
      </c>
      <c r="F24" s="46" t="s">
        <v>745</v>
      </c>
      <c r="G24" s="46" t="s">
        <v>753</v>
      </c>
      <c r="H24" s="46" t="s">
        <v>703</v>
      </c>
      <c r="I24" s="46"/>
      <c r="J24" s="94"/>
    </row>
    <row r="25" spans="1:10" ht="26.45" customHeight="1">
      <c r="A25" s="95" t="s">
        <v>741</v>
      </c>
      <c r="B25" s="46" t="s">
        <v>754</v>
      </c>
      <c r="C25" s="46" t="s">
        <v>755</v>
      </c>
      <c r="D25" s="46" t="s">
        <v>756</v>
      </c>
      <c r="E25" s="46" t="s">
        <v>700</v>
      </c>
      <c r="F25" s="46" t="s">
        <v>745</v>
      </c>
      <c r="G25" s="46" t="s">
        <v>757</v>
      </c>
      <c r="H25" s="46" t="s">
        <v>703</v>
      </c>
      <c r="I25" s="46"/>
      <c r="J25" s="94"/>
    </row>
    <row r="26" spans="1:10" ht="26.45" customHeight="1">
      <c r="A26" s="95" t="s">
        <v>741</v>
      </c>
      <c r="B26" s="46" t="s">
        <v>758</v>
      </c>
      <c r="C26" s="46" t="s">
        <v>759</v>
      </c>
      <c r="D26" s="46" t="s">
        <v>760</v>
      </c>
      <c r="E26" s="46" t="s">
        <v>700</v>
      </c>
      <c r="F26" s="46" t="s">
        <v>761</v>
      </c>
      <c r="G26" s="46" t="s">
        <v>762</v>
      </c>
      <c r="H26" s="46" t="s">
        <v>703</v>
      </c>
      <c r="I26" s="46"/>
      <c r="J26" s="94"/>
    </row>
    <row r="27" spans="1:10" ht="39.6" customHeight="1">
      <c r="A27" s="95" t="s">
        <v>741</v>
      </c>
      <c r="B27" s="46" t="s">
        <v>763</v>
      </c>
      <c r="C27" s="46" t="s">
        <v>764</v>
      </c>
      <c r="D27" s="46" t="s">
        <v>765</v>
      </c>
      <c r="E27" s="46" t="s">
        <v>700</v>
      </c>
      <c r="F27" s="46" t="s">
        <v>707</v>
      </c>
      <c r="G27" s="46" t="s">
        <v>762</v>
      </c>
      <c r="H27" s="46" t="s">
        <v>703</v>
      </c>
      <c r="I27" s="46"/>
      <c r="J27" s="94"/>
    </row>
    <row r="28" spans="1:10" ht="26.45" customHeight="1">
      <c r="A28" s="95" t="s">
        <v>741</v>
      </c>
      <c r="B28" s="46" t="s">
        <v>766</v>
      </c>
      <c r="C28" s="46" t="s">
        <v>767</v>
      </c>
      <c r="D28" s="46" t="s">
        <v>768</v>
      </c>
      <c r="E28" s="46" t="s">
        <v>700</v>
      </c>
      <c r="F28" s="46" t="s">
        <v>707</v>
      </c>
      <c r="G28" s="46" t="s">
        <v>769</v>
      </c>
      <c r="H28" s="46" t="s">
        <v>703</v>
      </c>
      <c r="I28" s="46"/>
      <c r="J28" s="94"/>
    </row>
    <row r="29" spans="1:10" ht="52.7" customHeight="1">
      <c r="A29" s="95" t="s">
        <v>770</v>
      </c>
      <c r="B29" s="46" t="s">
        <v>771</v>
      </c>
      <c r="C29" s="46" t="s">
        <v>772</v>
      </c>
      <c r="D29" s="46" t="s">
        <v>773</v>
      </c>
      <c r="E29" s="46" t="s">
        <v>700</v>
      </c>
      <c r="F29" s="46" t="s">
        <v>721</v>
      </c>
      <c r="G29" s="46" t="s">
        <v>774</v>
      </c>
      <c r="H29" s="46" t="s">
        <v>703</v>
      </c>
      <c r="I29" s="46"/>
      <c r="J29" s="94"/>
    </row>
    <row r="30" spans="1:10" ht="39.6" customHeight="1">
      <c r="A30" s="95" t="s">
        <v>770</v>
      </c>
      <c r="B30" s="46" t="s">
        <v>775</v>
      </c>
      <c r="C30" s="46" t="s">
        <v>776</v>
      </c>
      <c r="D30" s="46" t="s">
        <v>777</v>
      </c>
      <c r="E30" s="46" t="s">
        <v>700</v>
      </c>
      <c r="F30" s="46" t="s">
        <v>721</v>
      </c>
      <c r="G30" s="46" t="s">
        <v>778</v>
      </c>
      <c r="H30" s="46" t="s">
        <v>703</v>
      </c>
      <c r="I30" s="46"/>
      <c r="J30" s="94"/>
    </row>
    <row r="31" spans="1:10" ht="26.45" customHeight="1">
      <c r="A31" s="95" t="s">
        <v>770</v>
      </c>
      <c r="B31" s="46" t="s">
        <v>779</v>
      </c>
      <c r="C31" s="46" t="s">
        <v>780</v>
      </c>
      <c r="D31" s="46" t="s">
        <v>781</v>
      </c>
      <c r="E31" s="46" t="s">
        <v>700</v>
      </c>
      <c r="F31" s="46" t="s">
        <v>721</v>
      </c>
      <c r="G31" s="46" t="s">
        <v>778</v>
      </c>
      <c r="H31" s="46" t="s">
        <v>703</v>
      </c>
      <c r="I31" s="46"/>
      <c r="J31" s="94"/>
    </row>
    <row r="32" spans="1:10" ht="52.7" customHeight="1">
      <c r="A32" s="95" t="s">
        <v>770</v>
      </c>
      <c r="B32" s="46" t="s">
        <v>782</v>
      </c>
      <c r="C32" s="46" t="s">
        <v>783</v>
      </c>
      <c r="D32" s="46" t="s">
        <v>784</v>
      </c>
      <c r="E32" s="46" t="s">
        <v>700</v>
      </c>
      <c r="F32" s="46" t="s">
        <v>785</v>
      </c>
      <c r="G32" s="46" t="s">
        <v>786</v>
      </c>
      <c r="H32" s="46" t="s">
        <v>703</v>
      </c>
      <c r="I32" s="46"/>
      <c r="J32" s="94"/>
    </row>
    <row r="33" spans="1:10" ht="39.6" customHeight="1">
      <c r="A33" s="95" t="s">
        <v>770</v>
      </c>
      <c r="B33" s="46" t="s">
        <v>787</v>
      </c>
      <c r="C33" s="46" t="s">
        <v>788</v>
      </c>
      <c r="D33" s="46" t="s">
        <v>789</v>
      </c>
      <c r="E33" s="46" t="s">
        <v>700</v>
      </c>
      <c r="F33" s="46" t="s">
        <v>785</v>
      </c>
      <c r="G33" s="46" t="s">
        <v>786</v>
      </c>
      <c r="H33" s="46" t="s">
        <v>703</v>
      </c>
      <c r="I33" s="46"/>
      <c r="J33" s="94"/>
    </row>
    <row r="34" spans="1:10" ht="39.6" customHeight="1">
      <c r="A34" s="95" t="s">
        <v>770</v>
      </c>
      <c r="B34" s="46" t="s">
        <v>790</v>
      </c>
      <c r="C34" s="46" t="s">
        <v>791</v>
      </c>
      <c r="D34" s="46" t="s">
        <v>792</v>
      </c>
      <c r="E34" s="46" t="s">
        <v>700</v>
      </c>
      <c r="F34" s="46" t="s">
        <v>785</v>
      </c>
      <c r="G34" s="46" t="s">
        <v>786</v>
      </c>
      <c r="H34" s="46" t="s">
        <v>703</v>
      </c>
      <c r="I34" s="46"/>
      <c r="J34" s="94"/>
    </row>
    <row r="35" spans="1:10" ht="39.6" customHeight="1">
      <c r="A35" s="95" t="s">
        <v>793</v>
      </c>
      <c r="B35" s="46" t="s">
        <v>794</v>
      </c>
      <c r="C35" s="46" t="s">
        <v>795</v>
      </c>
      <c r="D35" s="46" t="s">
        <v>796</v>
      </c>
      <c r="E35" s="46" t="s">
        <v>700</v>
      </c>
      <c r="F35" s="46" t="s">
        <v>797</v>
      </c>
      <c r="G35" s="46" t="s">
        <v>774</v>
      </c>
      <c r="H35" s="46" t="s">
        <v>703</v>
      </c>
      <c r="I35" s="46"/>
      <c r="J35" s="94"/>
    </row>
    <row r="36" spans="1:10" ht="39.6" customHeight="1">
      <c r="A36" s="95" t="s">
        <v>793</v>
      </c>
      <c r="B36" s="46" t="s">
        <v>798</v>
      </c>
      <c r="C36" s="46" t="s">
        <v>799</v>
      </c>
      <c r="D36" s="46" t="s">
        <v>800</v>
      </c>
      <c r="E36" s="46" t="s">
        <v>700</v>
      </c>
      <c r="F36" s="46" t="s">
        <v>801</v>
      </c>
      <c r="G36" s="46" t="s">
        <v>774</v>
      </c>
      <c r="H36" s="46" t="s">
        <v>703</v>
      </c>
      <c r="I36" s="46"/>
      <c r="J36" s="94"/>
    </row>
    <row r="37" spans="1:10" ht="52.7" customHeight="1">
      <c r="A37" s="95" t="s">
        <v>802</v>
      </c>
      <c r="B37" s="46" t="s">
        <v>803</v>
      </c>
      <c r="C37" s="46" t="s">
        <v>804</v>
      </c>
      <c r="D37" s="46" t="s">
        <v>805</v>
      </c>
      <c r="E37" s="46" t="s">
        <v>700</v>
      </c>
      <c r="F37" s="46" t="s">
        <v>806</v>
      </c>
      <c r="G37" s="46" t="s">
        <v>774</v>
      </c>
      <c r="H37" s="46" t="s">
        <v>703</v>
      </c>
      <c r="I37" s="46"/>
      <c r="J37" s="94"/>
    </row>
    <row r="38" spans="1:10" ht="52.7" customHeight="1">
      <c r="A38" s="95" t="s">
        <v>802</v>
      </c>
      <c r="B38" s="46" t="s">
        <v>807</v>
      </c>
      <c r="C38" s="46" t="s">
        <v>808</v>
      </c>
      <c r="D38" s="46" t="s">
        <v>809</v>
      </c>
      <c r="E38" s="46" t="s">
        <v>700</v>
      </c>
      <c r="F38" s="46" t="s">
        <v>701</v>
      </c>
      <c r="G38" s="46" t="s">
        <v>774</v>
      </c>
      <c r="H38" s="46" t="s">
        <v>703</v>
      </c>
      <c r="I38" s="46"/>
      <c r="J38" s="94"/>
    </row>
    <row r="39" spans="1:10" ht="26.45" customHeight="1">
      <c r="A39" s="95" t="s">
        <v>802</v>
      </c>
      <c r="B39" s="46" t="s">
        <v>810</v>
      </c>
      <c r="C39" s="46" t="s">
        <v>811</v>
      </c>
      <c r="D39" s="46" t="s">
        <v>812</v>
      </c>
      <c r="E39" s="46" t="s">
        <v>700</v>
      </c>
      <c r="F39" s="46" t="s">
        <v>707</v>
      </c>
      <c r="G39" s="46" t="s">
        <v>813</v>
      </c>
      <c r="H39" s="46" t="s">
        <v>703</v>
      </c>
      <c r="I39" s="46"/>
      <c r="J39" s="94"/>
    </row>
    <row r="40" spans="1:10" ht="52.7" customHeight="1">
      <c r="A40" s="95" t="s">
        <v>802</v>
      </c>
      <c r="B40" s="46" t="s">
        <v>814</v>
      </c>
      <c r="C40" s="46" t="s">
        <v>815</v>
      </c>
      <c r="D40" s="46" t="s">
        <v>816</v>
      </c>
      <c r="E40" s="46" t="s">
        <v>700</v>
      </c>
      <c r="F40" s="46" t="s">
        <v>707</v>
      </c>
      <c r="G40" s="46" t="s">
        <v>813</v>
      </c>
      <c r="H40" s="46" t="s">
        <v>703</v>
      </c>
      <c r="I40" s="46"/>
      <c r="J40" s="94"/>
    </row>
    <row r="41" spans="1:10" ht="15" customHeight="1">
      <c r="A41" s="95"/>
      <c r="B41" s="46"/>
      <c r="C41" s="46"/>
      <c r="D41" s="46"/>
      <c r="E41" s="46"/>
      <c r="F41" s="46"/>
      <c r="G41" s="46"/>
      <c r="H41" s="46"/>
      <c r="I41" s="46"/>
      <c r="J41" s="94"/>
    </row>
    <row r="42" spans="1:10" ht="15" customHeight="1">
      <c r="A42" s="95"/>
      <c r="B42" s="46"/>
      <c r="C42" s="46"/>
      <c r="D42" s="46"/>
      <c r="E42" s="46"/>
      <c r="F42" s="46"/>
      <c r="G42" s="46"/>
      <c r="H42" s="46"/>
      <c r="I42" s="46"/>
      <c r="J42" s="94"/>
    </row>
    <row r="43" spans="1:10" ht="15" customHeight="1">
      <c r="A43" s="95"/>
      <c r="B43" s="46"/>
      <c r="C43" s="46"/>
      <c r="D43" s="46"/>
      <c r="E43" s="46"/>
      <c r="F43" s="46"/>
      <c r="G43" s="46"/>
      <c r="H43" s="46"/>
      <c r="I43" s="46"/>
      <c r="J43" s="94"/>
    </row>
    <row r="44" spans="1:10" ht="16.7" customHeight="1">
      <c r="A44" s="194" t="s">
        <v>2172</v>
      </c>
      <c r="B44" s="195"/>
      <c r="C44" s="195"/>
      <c r="D44" s="195"/>
      <c r="E44" s="195"/>
      <c r="F44" s="195"/>
      <c r="G44" s="195"/>
      <c r="H44" s="195"/>
      <c r="I44" s="195"/>
      <c r="J44" s="196"/>
    </row>
    <row r="45" spans="1:10" ht="15" customHeight="1">
      <c r="A45" s="95"/>
      <c r="B45" s="46"/>
      <c r="C45" s="46"/>
      <c r="D45" s="46"/>
      <c r="E45" s="46"/>
      <c r="F45" s="46"/>
      <c r="G45" s="46"/>
      <c r="H45" s="46"/>
      <c r="I45" s="46"/>
      <c r="J45" s="94"/>
    </row>
    <row r="46" spans="1:10" ht="26.45" customHeight="1">
      <c r="A46" s="105" t="s">
        <v>43</v>
      </c>
      <c r="B46" s="103" t="s">
        <v>44</v>
      </c>
      <c r="C46" s="103" t="s">
        <v>46</v>
      </c>
      <c r="D46" s="103" t="s">
        <v>47</v>
      </c>
      <c r="E46" s="103" t="s">
        <v>48</v>
      </c>
      <c r="F46" s="103" t="s">
        <v>49</v>
      </c>
      <c r="G46" s="103" t="s">
        <v>50</v>
      </c>
      <c r="H46" s="103" t="s">
        <v>51</v>
      </c>
      <c r="I46" s="103" t="s">
        <v>52</v>
      </c>
      <c r="J46" s="106" t="s">
        <v>692</v>
      </c>
    </row>
    <row r="47" spans="1:10" ht="26.45" customHeight="1">
      <c r="A47" s="95">
        <v>1</v>
      </c>
      <c r="B47" s="46" t="s">
        <v>741</v>
      </c>
      <c r="C47" s="46" t="s">
        <v>2173</v>
      </c>
      <c r="D47" s="46" t="s">
        <v>735</v>
      </c>
      <c r="E47" s="46" t="s">
        <v>763</v>
      </c>
      <c r="F47" s="46" t="s">
        <v>747</v>
      </c>
      <c r="G47" s="46" t="s">
        <v>2174</v>
      </c>
      <c r="H47" s="46" t="s">
        <v>2175</v>
      </c>
      <c r="I47" s="46" t="s">
        <v>2176</v>
      </c>
      <c r="J47" s="94" t="s">
        <v>700</v>
      </c>
    </row>
    <row r="48" spans="1:10" ht="26.45" customHeight="1">
      <c r="A48" s="95">
        <v>2</v>
      </c>
      <c r="B48" s="46" t="s">
        <v>741</v>
      </c>
      <c r="C48" s="46" t="s">
        <v>2177</v>
      </c>
      <c r="D48" s="46" t="s">
        <v>2178</v>
      </c>
      <c r="E48" s="46" t="s">
        <v>2179</v>
      </c>
      <c r="F48" s="46" t="s">
        <v>2180</v>
      </c>
      <c r="G48" s="46" t="s">
        <v>2181</v>
      </c>
      <c r="H48" s="46" t="s">
        <v>2182</v>
      </c>
      <c r="I48" s="46" t="s">
        <v>2183</v>
      </c>
      <c r="J48" s="94" t="s">
        <v>700</v>
      </c>
    </row>
    <row r="49" spans="1:10" ht="26.45" customHeight="1">
      <c r="A49" s="95">
        <v>3</v>
      </c>
      <c r="B49" s="46" t="s">
        <v>741</v>
      </c>
      <c r="C49" s="46" t="s">
        <v>2184</v>
      </c>
      <c r="D49" s="46" t="s">
        <v>2178</v>
      </c>
      <c r="E49" s="46" t="s">
        <v>2179</v>
      </c>
      <c r="F49" s="46" t="s">
        <v>2180</v>
      </c>
      <c r="G49" s="46" t="s">
        <v>2181</v>
      </c>
      <c r="H49" s="46" t="s">
        <v>2185</v>
      </c>
      <c r="I49" s="46" t="s">
        <v>2186</v>
      </c>
      <c r="J49" s="94" t="s">
        <v>700</v>
      </c>
    </row>
    <row r="50" spans="1:10" ht="26.45" customHeight="1">
      <c r="A50" s="95">
        <v>4</v>
      </c>
      <c r="B50" s="46" t="s">
        <v>741</v>
      </c>
      <c r="C50" s="46" t="s">
        <v>2187</v>
      </c>
      <c r="D50" s="46" t="s">
        <v>2178</v>
      </c>
      <c r="E50" s="46" t="s">
        <v>2179</v>
      </c>
      <c r="F50" s="46" t="s">
        <v>2180</v>
      </c>
      <c r="G50" s="46" t="s">
        <v>763</v>
      </c>
      <c r="H50" s="46" t="s">
        <v>2188</v>
      </c>
      <c r="I50" s="46" t="s">
        <v>2189</v>
      </c>
      <c r="J50" s="94" t="s">
        <v>700</v>
      </c>
    </row>
    <row r="51" spans="1:10" ht="26.45" customHeight="1">
      <c r="A51" s="95">
        <v>5</v>
      </c>
      <c r="B51" s="46" t="s">
        <v>741</v>
      </c>
      <c r="C51" s="46" t="s">
        <v>2190</v>
      </c>
      <c r="D51" s="46" t="s">
        <v>959</v>
      </c>
      <c r="E51" s="46" t="s">
        <v>763</v>
      </c>
      <c r="F51" s="46" t="s">
        <v>735</v>
      </c>
      <c r="G51" s="46" t="s">
        <v>732</v>
      </c>
      <c r="H51" s="46" t="s">
        <v>2191</v>
      </c>
      <c r="I51" s="46" t="s">
        <v>2192</v>
      </c>
      <c r="J51" s="94" t="s">
        <v>700</v>
      </c>
    </row>
    <row r="52" spans="1:10" ht="26.45" customHeight="1">
      <c r="A52" s="95">
        <v>6</v>
      </c>
      <c r="B52" s="46" t="s">
        <v>741</v>
      </c>
      <c r="C52" s="46" t="s">
        <v>2193</v>
      </c>
      <c r="D52" s="46" t="s">
        <v>747</v>
      </c>
      <c r="E52" s="46" t="s">
        <v>742</v>
      </c>
      <c r="F52" s="46" t="s">
        <v>172</v>
      </c>
      <c r="G52" s="46" t="s">
        <v>2194</v>
      </c>
      <c r="H52" s="46" t="s">
        <v>2195</v>
      </c>
      <c r="I52" s="46" t="s">
        <v>2196</v>
      </c>
      <c r="J52" s="94" t="s">
        <v>700</v>
      </c>
    </row>
    <row r="53" spans="1:10" ht="39.6" customHeight="1">
      <c r="A53" s="95">
        <v>7</v>
      </c>
      <c r="B53" s="46" t="s">
        <v>2197</v>
      </c>
      <c r="C53" s="46" t="s">
        <v>2198</v>
      </c>
      <c r="D53" s="46" t="s">
        <v>2199</v>
      </c>
      <c r="E53" s="46" t="s">
        <v>2200</v>
      </c>
      <c r="F53" s="46" t="s">
        <v>2201</v>
      </c>
      <c r="G53" s="46" t="s">
        <v>2202</v>
      </c>
      <c r="H53" s="46" t="s">
        <v>2203</v>
      </c>
      <c r="I53" s="46" t="s">
        <v>2204</v>
      </c>
      <c r="J53" s="94" t="s">
        <v>700</v>
      </c>
    </row>
    <row r="54" spans="1:10" ht="26.45" customHeight="1">
      <c r="A54" s="95">
        <v>8</v>
      </c>
      <c r="B54" s="46" t="s">
        <v>2197</v>
      </c>
      <c r="C54" s="46" t="s">
        <v>2205</v>
      </c>
      <c r="D54" s="46" t="s">
        <v>2206</v>
      </c>
      <c r="E54" s="46" t="s">
        <v>2207</v>
      </c>
      <c r="F54" s="46" t="s">
        <v>2208</v>
      </c>
      <c r="G54" s="46" t="s">
        <v>2209</v>
      </c>
      <c r="H54" s="46" t="s">
        <v>2210</v>
      </c>
      <c r="I54" s="46" t="s">
        <v>2211</v>
      </c>
      <c r="J54" s="94" t="s">
        <v>700</v>
      </c>
    </row>
    <row r="55" spans="1:10" ht="26.45" customHeight="1">
      <c r="A55" s="95">
        <v>9</v>
      </c>
      <c r="B55" s="46" t="s">
        <v>2197</v>
      </c>
      <c r="C55" s="46" t="s">
        <v>2212</v>
      </c>
      <c r="D55" s="46" t="s">
        <v>2213</v>
      </c>
      <c r="E55" s="46" t="s">
        <v>2214</v>
      </c>
      <c r="F55" s="46" t="s">
        <v>2215</v>
      </c>
      <c r="G55" s="46" t="s">
        <v>2216</v>
      </c>
      <c r="H55" s="46" t="s">
        <v>2217</v>
      </c>
      <c r="I55" s="46" t="s">
        <v>2218</v>
      </c>
      <c r="J55" s="94" t="s">
        <v>700</v>
      </c>
    </row>
    <row r="56" spans="1:10" ht="39.6" customHeight="1">
      <c r="A56" s="95">
        <v>10</v>
      </c>
      <c r="B56" s="46" t="s">
        <v>2197</v>
      </c>
      <c r="C56" s="46" t="s">
        <v>2219</v>
      </c>
      <c r="D56" s="46" t="s">
        <v>2220</v>
      </c>
      <c r="E56" s="46" t="s">
        <v>2221</v>
      </c>
      <c r="F56" s="46" t="s">
        <v>2222</v>
      </c>
      <c r="G56" s="46" t="s">
        <v>2223</v>
      </c>
      <c r="H56" s="46" t="s">
        <v>2224</v>
      </c>
      <c r="I56" s="46" t="s">
        <v>2225</v>
      </c>
      <c r="J56" s="94" t="s">
        <v>700</v>
      </c>
    </row>
    <row r="57" spans="1:10" ht="26.45" customHeight="1">
      <c r="A57" s="95">
        <v>11</v>
      </c>
      <c r="B57" s="46" t="s">
        <v>770</v>
      </c>
      <c r="C57" s="46" t="s">
        <v>2226</v>
      </c>
      <c r="D57" s="46" t="s">
        <v>2227</v>
      </c>
      <c r="E57" s="46" t="s">
        <v>2228</v>
      </c>
      <c r="F57" s="46" t="s">
        <v>834</v>
      </c>
      <c r="G57" s="46" t="s">
        <v>2229</v>
      </c>
      <c r="H57" s="46" t="s">
        <v>2230</v>
      </c>
      <c r="I57" s="46" t="s">
        <v>2231</v>
      </c>
      <c r="J57" s="94" t="s">
        <v>700</v>
      </c>
    </row>
    <row r="58" spans="1:10" ht="26.45" customHeight="1">
      <c r="A58" s="95">
        <v>12</v>
      </c>
      <c r="B58" s="46" t="s">
        <v>786</v>
      </c>
      <c r="C58" s="46" t="s">
        <v>2232</v>
      </c>
      <c r="D58" s="46" t="s">
        <v>2233</v>
      </c>
      <c r="E58" s="46" t="s">
        <v>2234</v>
      </c>
      <c r="F58" s="46" t="s">
        <v>833</v>
      </c>
      <c r="G58" s="46" t="s">
        <v>1056</v>
      </c>
      <c r="H58" s="46" t="s">
        <v>2235</v>
      </c>
      <c r="I58" s="46" t="s">
        <v>2236</v>
      </c>
      <c r="J58" s="94" t="s">
        <v>700</v>
      </c>
    </row>
    <row r="59" spans="1:10" ht="26.45" customHeight="1">
      <c r="A59" s="95">
        <v>13</v>
      </c>
      <c r="B59" s="46" t="s">
        <v>2237</v>
      </c>
      <c r="C59" s="46" t="s">
        <v>2238</v>
      </c>
      <c r="D59" s="46" t="s">
        <v>2239</v>
      </c>
      <c r="E59" s="46" t="s">
        <v>2240</v>
      </c>
      <c r="F59" s="46" t="s">
        <v>2241</v>
      </c>
      <c r="G59" s="46" t="s">
        <v>2242</v>
      </c>
      <c r="H59" s="46" t="s">
        <v>2243</v>
      </c>
      <c r="I59" s="46" t="s">
        <v>2244</v>
      </c>
      <c r="J59" s="94" t="s">
        <v>700</v>
      </c>
    </row>
    <row r="60" spans="1:10" ht="26.45" customHeight="1">
      <c r="A60" s="95">
        <v>14</v>
      </c>
      <c r="B60" s="46" t="s">
        <v>2245</v>
      </c>
      <c r="C60" s="46" t="s">
        <v>2246</v>
      </c>
      <c r="D60" s="46" t="s">
        <v>2247</v>
      </c>
      <c r="E60" s="46" t="s">
        <v>2248</v>
      </c>
      <c r="F60" s="46" t="s">
        <v>747</v>
      </c>
      <c r="G60" s="46" t="s">
        <v>742</v>
      </c>
      <c r="H60" s="46" t="s">
        <v>2175</v>
      </c>
      <c r="I60" s="46" t="s">
        <v>2249</v>
      </c>
      <c r="J60" s="94" t="s">
        <v>700</v>
      </c>
    </row>
    <row r="61" spans="1:10" ht="26.45" customHeight="1">
      <c r="A61" s="96">
        <v>15</v>
      </c>
      <c r="B61" s="97" t="s">
        <v>2245</v>
      </c>
      <c r="C61" s="97" t="s">
        <v>2250</v>
      </c>
      <c r="D61" s="97" t="s">
        <v>2251</v>
      </c>
      <c r="E61" s="97" t="s">
        <v>2252</v>
      </c>
      <c r="F61" s="97" t="s">
        <v>2253</v>
      </c>
      <c r="G61" s="97" t="s">
        <v>2254</v>
      </c>
      <c r="H61" s="97" t="s">
        <v>2255</v>
      </c>
      <c r="I61" s="97" t="s">
        <v>2256</v>
      </c>
      <c r="J61" s="98" t="s">
        <v>700</v>
      </c>
    </row>
  </sheetData>
  <mergeCells count="2">
    <mergeCell ref="A1:H1"/>
    <mergeCell ref="A44:J44"/>
  </mergeCells>
  <conditionalFormatting sqref="E10:E40">
    <cfRule type="expression" dxfId="3" priority="1">
      <formula>E10="Yes"</formula>
    </cfRule>
    <cfRule type="expression" dxfId="2" priority="2">
      <formula>E10="Review"</formula>
    </cfRule>
  </conditionalFormatting>
  <conditionalFormatting sqref="J47:J61">
    <cfRule type="expression" dxfId="1" priority="3">
      <formula>J47="Yes"</formula>
    </cfRule>
    <cfRule type="expression" dxfId="0" priority="4">
      <formula>J47="Review"</formula>
    </cfRule>
  </conditionalFormatting>
  <dataValidations count="1">
    <dataValidation type="list" sqref="E10:E40 J47:J61" xr:uid="{00000000-0002-0000-0B00-000000000000}">
      <formula1>"Review,Yes,No"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workbookViewId="0"/>
  </sheetViews>
  <sheetFormatPr defaultRowHeight="15"/>
  <cols>
    <col min="1" max="1" width="24" customWidth="1"/>
    <col min="2" max="2" width="60" customWidth="1"/>
    <col min="3" max="3" width="24" customWidth="1"/>
  </cols>
  <sheetData>
    <row r="1" spans="1:3" ht="16.7" customHeight="1">
      <c r="A1" s="197" t="s">
        <v>2257</v>
      </c>
      <c r="B1" s="198"/>
      <c r="C1" s="199"/>
    </row>
    <row r="2" spans="1:3">
      <c r="A2" s="56"/>
      <c r="B2" s="44"/>
      <c r="C2" s="57"/>
    </row>
    <row r="3" spans="1:3" ht="15" customHeight="1">
      <c r="A3" s="63" t="s">
        <v>570</v>
      </c>
      <c r="B3" s="54" t="s">
        <v>571</v>
      </c>
      <c r="C3" s="64" t="s">
        <v>2258</v>
      </c>
    </row>
    <row r="4" spans="1:3" ht="26.45" customHeight="1">
      <c r="A4" s="56" t="s">
        <v>2135</v>
      </c>
      <c r="B4" s="44" t="s">
        <v>2136</v>
      </c>
      <c r="C4" s="57" t="s">
        <v>2259</v>
      </c>
    </row>
    <row r="5" spans="1:3" ht="26.45" customHeight="1">
      <c r="A5" s="56" t="s">
        <v>895</v>
      </c>
      <c r="B5" s="44" t="s">
        <v>2137</v>
      </c>
      <c r="C5" s="57" t="s">
        <v>2259</v>
      </c>
    </row>
    <row r="6" spans="1:3" ht="26.45" customHeight="1">
      <c r="A6" s="56" t="s">
        <v>715</v>
      </c>
      <c r="B6" s="44" t="s">
        <v>2138</v>
      </c>
      <c r="C6" s="57" t="s">
        <v>2259</v>
      </c>
    </row>
    <row r="7" spans="1:3" ht="26.45" customHeight="1">
      <c r="A7" s="56" t="s">
        <v>2139</v>
      </c>
      <c r="B7" s="44" t="s">
        <v>2140</v>
      </c>
      <c r="C7" s="57" t="s">
        <v>2259</v>
      </c>
    </row>
    <row r="8" spans="1:3" ht="26.45" customHeight="1">
      <c r="A8" s="56" t="s">
        <v>2141</v>
      </c>
      <c r="B8" s="44" t="s">
        <v>2142</v>
      </c>
      <c r="C8" s="57" t="s">
        <v>2259</v>
      </c>
    </row>
    <row r="9" spans="1:3" ht="26.45" customHeight="1">
      <c r="A9" s="56" t="s">
        <v>2143</v>
      </c>
      <c r="B9" s="44" t="s">
        <v>2144</v>
      </c>
      <c r="C9" s="57" t="s">
        <v>2259</v>
      </c>
    </row>
    <row r="10" spans="1:3" ht="26.45" customHeight="1">
      <c r="A10" s="56" t="s">
        <v>2145</v>
      </c>
      <c r="B10" s="44" t="s">
        <v>2146</v>
      </c>
      <c r="C10" s="57" t="s">
        <v>2259</v>
      </c>
    </row>
    <row r="11" spans="1:3" ht="26.45" customHeight="1">
      <c r="A11" s="56" t="s">
        <v>742</v>
      </c>
      <c r="B11" s="44" t="s">
        <v>2147</v>
      </c>
      <c r="C11" s="57" t="s">
        <v>2259</v>
      </c>
    </row>
    <row r="12" spans="1:3" ht="26.45" customHeight="1">
      <c r="A12" s="56" t="s">
        <v>747</v>
      </c>
      <c r="B12" s="44" t="s">
        <v>2148</v>
      </c>
      <c r="C12" s="57" t="s">
        <v>2259</v>
      </c>
    </row>
    <row r="13" spans="1:3" ht="26.45" customHeight="1">
      <c r="A13" s="56" t="s">
        <v>2149</v>
      </c>
      <c r="B13" s="44" t="s">
        <v>2150</v>
      </c>
      <c r="C13" s="57" t="s">
        <v>2259</v>
      </c>
    </row>
    <row r="14" spans="1:3" ht="26.45" customHeight="1">
      <c r="A14" s="56" t="s">
        <v>2151</v>
      </c>
      <c r="B14" s="44" t="s">
        <v>2152</v>
      </c>
      <c r="C14" s="57" t="s">
        <v>2259</v>
      </c>
    </row>
    <row r="15" spans="1:3" ht="26.45" customHeight="1">
      <c r="A15" s="56" t="s">
        <v>2153</v>
      </c>
      <c r="B15" s="44" t="s">
        <v>2154</v>
      </c>
      <c r="C15" s="57" t="s">
        <v>2259</v>
      </c>
    </row>
    <row r="16" spans="1:3" ht="26.45" customHeight="1">
      <c r="A16" s="56" t="s">
        <v>763</v>
      </c>
      <c r="B16" s="44" t="s">
        <v>2155</v>
      </c>
      <c r="C16" s="57" t="s">
        <v>2259</v>
      </c>
    </row>
    <row r="17" spans="1:3" ht="26.45" customHeight="1">
      <c r="A17" s="56" t="s">
        <v>2156</v>
      </c>
      <c r="B17" s="44" t="s">
        <v>2157</v>
      </c>
      <c r="C17" s="57" t="s">
        <v>2259</v>
      </c>
    </row>
    <row r="18" spans="1:3" ht="26.45" customHeight="1">
      <c r="A18" s="56" t="s">
        <v>803</v>
      </c>
      <c r="B18" s="44" t="s">
        <v>2158</v>
      </c>
      <c r="C18" s="57" t="s">
        <v>2259</v>
      </c>
    </row>
    <row r="19" spans="1:3" ht="26.45" customHeight="1">
      <c r="A19" s="56" t="s">
        <v>2159</v>
      </c>
      <c r="B19" s="44" t="s">
        <v>2160</v>
      </c>
      <c r="C19" s="57" t="s">
        <v>2259</v>
      </c>
    </row>
    <row r="20" spans="1:3" ht="26.45" customHeight="1">
      <c r="A20" s="56" t="s">
        <v>2161</v>
      </c>
      <c r="B20" s="44" t="s">
        <v>2162</v>
      </c>
      <c r="C20" s="57" t="s">
        <v>2259</v>
      </c>
    </row>
    <row r="21" spans="1:3" ht="26.45" customHeight="1">
      <c r="A21" s="80" t="s">
        <v>1301</v>
      </c>
      <c r="B21" s="81" t="s">
        <v>2163</v>
      </c>
      <c r="C21" s="67" t="s">
        <v>2259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4"/>
  <sheetViews>
    <sheetView workbookViewId="0"/>
  </sheetViews>
  <sheetFormatPr defaultRowHeight="15"/>
  <cols>
    <col min="1" max="1" width="18" customWidth="1"/>
    <col min="2" max="2" width="40" customWidth="1"/>
    <col min="3" max="3" width="30" customWidth="1"/>
    <col min="4" max="4" width="45" customWidth="1"/>
    <col min="5" max="5" width="55" customWidth="1"/>
  </cols>
  <sheetData>
    <row r="1" spans="1:5" ht="16.7" customHeight="1">
      <c r="A1" s="193" t="s">
        <v>2260</v>
      </c>
      <c r="B1" s="162"/>
      <c r="C1" s="162"/>
      <c r="D1" s="162"/>
      <c r="E1" s="163"/>
    </row>
    <row r="2" spans="1:5">
      <c r="A2" s="56"/>
      <c r="B2" s="44"/>
      <c r="C2" s="44"/>
      <c r="D2" s="44"/>
      <c r="E2" s="57"/>
    </row>
    <row r="3" spans="1:5" ht="15" customHeight="1">
      <c r="A3" s="114" t="s">
        <v>2261</v>
      </c>
      <c r="B3" s="112" t="s">
        <v>2262</v>
      </c>
      <c r="C3" s="112" t="s">
        <v>2263</v>
      </c>
      <c r="D3" s="112" t="s">
        <v>2264</v>
      </c>
      <c r="E3" s="113" t="s">
        <v>2265</v>
      </c>
    </row>
    <row r="4" spans="1:5" ht="26.45" customHeight="1">
      <c r="A4" s="56" t="s">
        <v>2266</v>
      </c>
      <c r="B4" s="44" t="s">
        <v>2267</v>
      </c>
      <c r="C4" s="44" t="s">
        <v>2268</v>
      </c>
      <c r="D4" s="44" t="s">
        <v>2269</v>
      </c>
      <c r="E4" s="57" t="s">
        <v>2270</v>
      </c>
    </row>
    <row r="5" spans="1:5" ht="26.45" customHeight="1">
      <c r="A5" s="56" t="s">
        <v>2271</v>
      </c>
      <c r="B5" s="44" t="s">
        <v>674</v>
      </c>
      <c r="C5" s="44" t="s">
        <v>2272</v>
      </c>
      <c r="D5" s="44" t="s">
        <v>2273</v>
      </c>
      <c r="E5" s="57" t="s">
        <v>2274</v>
      </c>
    </row>
    <row r="6" spans="1:5" ht="15" customHeight="1">
      <c r="A6" s="56" t="s">
        <v>2275</v>
      </c>
      <c r="B6" s="44" t="s">
        <v>2276</v>
      </c>
      <c r="C6" s="44" t="s">
        <v>2272</v>
      </c>
      <c r="D6" s="44" t="s">
        <v>2277</v>
      </c>
      <c r="E6" s="57" t="s">
        <v>2278</v>
      </c>
    </row>
    <row r="7" spans="1:5" ht="15" customHeight="1">
      <c r="A7" s="56" t="s">
        <v>2279</v>
      </c>
      <c r="B7" s="44" t="s">
        <v>2276</v>
      </c>
      <c r="C7" s="44" t="s">
        <v>2272</v>
      </c>
      <c r="D7" s="44" t="s">
        <v>2280</v>
      </c>
      <c r="E7" s="57" t="s">
        <v>2278</v>
      </c>
    </row>
    <row r="8" spans="1:5" ht="15" customHeight="1">
      <c r="A8" s="56" t="s">
        <v>2281</v>
      </c>
      <c r="B8" s="44" t="s">
        <v>2276</v>
      </c>
      <c r="C8" s="44" t="s">
        <v>2272</v>
      </c>
      <c r="D8" s="44" t="s">
        <v>2282</v>
      </c>
      <c r="E8" s="57" t="s">
        <v>2278</v>
      </c>
    </row>
    <row r="9" spans="1:5" ht="15" customHeight="1">
      <c r="A9" s="56" t="s">
        <v>2283</v>
      </c>
      <c r="B9" s="44" t="s">
        <v>2284</v>
      </c>
      <c r="C9" s="44" t="s">
        <v>2285</v>
      </c>
      <c r="D9" s="44" t="s">
        <v>2286</v>
      </c>
      <c r="E9" s="57" t="s">
        <v>701</v>
      </c>
    </row>
    <row r="10" spans="1:5" ht="26.45" customHeight="1">
      <c r="A10" s="56" t="s">
        <v>2283</v>
      </c>
      <c r="B10" s="44" t="s">
        <v>2245</v>
      </c>
      <c r="C10" s="44" t="s">
        <v>2285</v>
      </c>
      <c r="D10" s="44" t="s">
        <v>2287</v>
      </c>
      <c r="E10" s="57" t="s">
        <v>707</v>
      </c>
    </row>
    <row r="11" spans="1:5" ht="15" customHeight="1">
      <c r="A11" s="56" t="s">
        <v>2283</v>
      </c>
      <c r="B11" s="44" t="s">
        <v>2288</v>
      </c>
      <c r="C11" s="44" t="s">
        <v>2285</v>
      </c>
      <c r="D11" s="44" t="s">
        <v>2289</v>
      </c>
      <c r="E11" s="57" t="s">
        <v>721</v>
      </c>
    </row>
    <row r="12" spans="1:5" ht="26.45" customHeight="1">
      <c r="A12" s="56" t="s">
        <v>2283</v>
      </c>
      <c r="B12" s="44" t="s">
        <v>2290</v>
      </c>
      <c r="C12" s="44" t="s">
        <v>2285</v>
      </c>
      <c r="D12" s="44" t="s">
        <v>2291</v>
      </c>
      <c r="E12" s="57" t="s">
        <v>785</v>
      </c>
    </row>
    <row r="13" spans="1:5" ht="15" customHeight="1">
      <c r="A13" s="56" t="s">
        <v>2283</v>
      </c>
      <c r="B13" s="44" t="s">
        <v>2292</v>
      </c>
      <c r="C13" s="44" t="s">
        <v>2285</v>
      </c>
      <c r="D13" s="44" t="s">
        <v>2293</v>
      </c>
      <c r="E13" s="57" t="s">
        <v>806</v>
      </c>
    </row>
    <row r="14" spans="1:5">
      <c r="A14" s="56"/>
      <c r="B14" s="44"/>
      <c r="C14" s="44"/>
      <c r="D14" s="44"/>
      <c r="E14" s="57"/>
    </row>
    <row r="15" spans="1:5" ht="39">
      <c r="A15" s="56" t="s">
        <v>2294</v>
      </c>
      <c r="B15" s="44" t="s">
        <v>2295</v>
      </c>
      <c r="C15" s="44" t="s">
        <v>2296</v>
      </c>
      <c r="D15" s="44" t="s">
        <v>2297</v>
      </c>
      <c r="E15" s="57" t="s">
        <v>703</v>
      </c>
    </row>
    <row r="16" spans="1:5" ht="26.25">
      <c r="A16" s="56" t="s">
        <v>2298</v>
      </c>
      <c r="B16" s="44" t="s">
        <v>2299</v>
      </c>
      <c r="C16" s="44" t="s">
        <v>721</v>
      </c>
      <c r="D16" s="44" t="s">
        <v>2297</v>
      </c>
      <c r="E16" s="57" t="s">
        <v>703</v>
      </c>
    </row>
    <row r="17" spans="1:5" ht="39">
      <c r="A17" s="56" t="s">
        <v>2245</v>
      </c>
      <c r="B17" s="44" t="s">
        <v>2300</v>
      </c>
      <c r="C17" s="44" t="s">
        <v>707</v>
      </c>
      <c r="D17" s="44" t="s">
        <v>2297</v>
      </c>
      <c r="E17" s="57" t="s">
        <v>703</v>
      </c>
    </row>
    <row r="18" spans="1:5" ht="26.25">
      <c r="A18" s="56" t="s">
        <v>2301</v>
      </c>
      <c r="B18" s="44" t="s">
        <v>2302</v>
      </c>
      <c r="C18" s="44" t="s">
        <v>785</v>
      </c>
      <c r="D18" s="44" t="s">
        <v>2297</v>
      </c>
      <c r="E18" s="57" t="s">
        <v>703</v>
      </c>
    </row>
    <row r="19" spans="1:5" ht="39">
      <c r="A19" s="56" t="s">
        <v>2303</v>
      </c>
      <c r="B19" s="44" t="s">
        <v>2304</v>
      </c>
      <c r="C19" s="44" t="s">
        <v>1180</v>
      </c>
      <c r="D19" s="44" t="s">
        <v>2297</v>
      </c>
      <c r="E19" s="57" t="s">
        <v>703</v>
      </c>
    </row>
    <row r="20" spans="1:5" ht="26.25">
      <c r="A20" s="56" t="s">
        <v>2292</v>
      </c>
      <c r="B20" s="44" t="s">
        <v>2305</v>
      </c>
      <c r="C20" s="44" t="s">
        <v>806</v>
      </c>
      <c r="D20" s="44" t="s">
        <v>2297</v>
      </c>
      <c r="E20" s="57" t="s">
        <v>703</v>
      </c>
    </row>
    <row r="21" spans="1:5" ht="26.25">
      <c r="A21" s="80" t="s">
        <v>2306</v>
      </c>
      <c r="B21" s="81" t="s">
        <v>2307</v>
      </c>
      <c r="C21" s="81" t="s">
        <v>701</v>
      </c>
      <c r="D21" s="81" t="s">
        <v>2297</v>
      </c>
      <c r="E21" s="67" t="s">
        <v>703</v>
      </c>
    </row>
    <row r="23" spans="1:5" ht="51.75">
      <c r="A23" s="115" t="s">
        <v>2308</v>
      </c>
      <c r="B23" s="116" t="s">
        <v>2309</v>
      </c>
      <c r="C23" s="116" t="s">
        <v>2310</v>
      </c>
      <c r="D23" s="116" t="s">
        <v>2311</v>
      </c>
      <c r="E23" s="19" t="s">
        <v>2297</v>
      </c>
    </row>
    <row r="24" spans="1:5" ht="75">
      <c r="A24" s="7" t="s">
        <v>2266</v>
      </c>
      <c r="B24" s="7" t="s">
        <v>2312</v>
      </c>
      <c r="C24" s="7" t="s">
        <v>2313</v>
      </c>
      <c r="D24" s="7" t="s">
        <v>2314</v>
      </c>
      <c r="E24" s="7" t="s">
        <v>2315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4"/>
  <sheetViews>
    <sheetView workbookViewId="0"/>
  </sheetViews>
  <sheetFormatPr defaultRowHeight="15"/>
  <cols>
    <col min="1" max="1" width="18" customWidth="1"/>
    <col min="2" max="2" width="26" customWidth="1"/>
    <col min="3" max="3" width="45" customWidth="1"/>
    <col min="4" max="4" width="42" customWidth="1"/>
    <col min="5" max="5" width="30" customWidth="1"/>
    <col min="6" max="6" width="12" customWidth="1"/>
    <col min="7" max="7" width="28" customWidth="1"/>
    <col min="8" max="8" width="12" customWidth="1"/>
  </cols>
  <sheetData>
    <row r="1" spans="1:8" ht="27.95" customHeight="1">
      <c r="A1" s="193" t="s">
        <v>1073</v>
      </c>
      <c r="B1" s="162"/>
      <c r="C1" s="162"/>
      <c r="D1" s="162"/>
      <c r="E1" s="162"/>
      <c r="F1" s="162"/>
      <c r="G1" s="162"/>
      <c r="H1" s="163"/>
    </row>
    <row r="2" spans="1:8" ht="36" customHeight="1">
      <c r="A2" s="164" t="s">
        <v>1074</v>
      </c>
      <c r="B2" s="165"/>
      <c r="C2" s="165"/>
      <c r="D2" s="165"/>
      <c r="E2" s="165"/>
      <c r="F2" s="165"/>
      <c r="G2" s="165"/>
      <c r="H2" s="166"/>
    </row>
    <row r="3" spans="1:8" ht="32.1" customHeight="1">
      <c r="A3" s="114" t="s">
        <v>688</v>
      </c>
      <c r="B3" s="112" t="s">
        <v>1075</v>
      </c>
      <c r="C3" s="112" t="s">
        <v>1076</v>
      </c>
      <c r="D3" s="112" t="s">
        <v>1077</v>
      </c>
      <c r="E3" s="112" t="s">
        <v>1078</v>
      </c>
      <c r="F3" s="112" t="s">
        <v>695</v>
      </c>
      <c r="G3" s="112" t="s">
        <v>693</v>
      </c>
      <c r="H3" s="113" t="s">
        <v>1079</v>
      </c>
    </row>
    <row r="4" spans="1:8" ht="60" customHeight="1">
      <c r="A4" s="95" t="s">
        <v>1080</v>
      </c>
      <c r="B4" s="46" t="s">
        <v>1081</v>
      </c>
      <c r="C4" s="46" t="s">
        <v>1082</v>
      </c>
      <c r="D4" s="46" t="s">
        <v>1083</v>
      </c>
      <c r="E4" s="46" t="s">
        <v>1084</v>
      </c>
      <c r="F4" s="46" t="s">
        <v>703</v>
      </c>
      <c r="G4" s="46" t="s">
        <v>1085</v>
      </c>
      <c r="H4" s="94" t="s">
        <v>703</v>
      </c>
    </row>
    <row r="5" spans="1:8" ht="60" customHeight="1">
      <c r="A5" s="95" t="s">
        <v>1080</v>
      </c>
      <c r="B5" s="46" t="s">
        <v>1086</v>
      </c>
      <c r="C5" s="46" t="s">
        <v>1087</v>
      </c>
      <c r="D5" s="46" t="s">
        <v>1088</v>
      </c>
      <c r="E5" s="46" t="s">
        <v>1089</v>
      </c>
      <c r="F5" s="46" t="s">
        <v>703</v>
      </c>
      <c r="G5" s="46" t="s">
        <v>1085</v>
      </c>
      <c r="H5" s="94" t="s">
        <v>703</v>
      </c>
    </row>
    <row r="6" spans="1:8" ht="60" customHeight="1">
      <c r="A6" s="95" t="s">
        <v>1080</v>
      </c>
      <c r="B6" s="46" t="s">
        <v>742</v>
      </c>
      <c r="C6" s="46" t="s">
        <v>1090</v>
      </c>
      <c r="D6" s="46" t="s">
        <v>1091</v>
      </c>
      <c r="E6" s="46" t="s">
        <v>1092</v>
      </c>
      <c r="F6" s="46" t="s">
        <v>703</v>
      </c>
      <c r="G6" s="46" t="s">
        <v>1085</v>
      </c>
      <c r="H6" s="94" t="s">
        <v>703</v>
      </c>
    </row>
    <row r="7" spans="1:8" ht="60" customHeight="1">
      <c r="A7" s="95" t="s">
        <v>1080</v>
      </c>
      <c r="B7" s="46" t="s">
        <v>715</v>
      </c>
      <c r="C7" s="46" t="s">
        <v>1093</v>
      </c>
      <c r="D7" s="46" t="s">
        <v>1094</v>
      </c>
      <c r="E7" s="46" t="s">
        <v>1095</v>
      </c>
      <c r="F7" s="46" t="s">
        <v>703</v>
      </c>
      <c r="G7" s="46" t="s">
        <v>701</v>
      </c>
      <c r="H7" s="94" t="s">
        <v>703</v>
      </c>
    </row>
    <row r="8" spans="1:8" ht="60" customHeight="1">
      <c r="A8" s="95" t="s">
        <v>1080</v>
      </c>
      <c r="B8" s="46" t="s">
        <v>718</v>
      </c>
      <c r="C8" s="46" t="s">
        <v>1096</v>
      </c>
      <c r="D8" s="46" t="s">
        <v>1097</v>
      </c>
      <c r="E8" s="46" t="s">
        <v>1098</v>
      </c>
      <c r="F8" s="46" t="s">
        <v>703</v>
      </c>
      <c r="G8" s="46" t="s">
        <v>721</v>
      </c>
      <c r="H8" s="94" t="s">
        <v>703</v>
      </c>
    </row>
    <row r="9" spans="1:8" ht="60" customHeight="1">
      <c r="A9" s="95" t="s">
        <v>1080</v>
      </c>
      <c r="B9" s="46" t="s">
        <v>1099</v>
      </c>
      <c r="C9" s="46" t="s">
        <v>1100</v>
      </c>
      <c r="D9" s="46" t="s">
        <v>1101</v>
      </c>
      <c r="E9" s="46" t="s">
        <v>1102</v>
      </c>
      <c r="F9" s="46" t="s">
        <v>703</v>
      </c>
      <c r="G9" s="46" t="s">
        <v>707</v>
      </c>
      <c r="H9" s="94" t="s">
        <v>703</v>
      </c>
    </row>
    <row r="10" spans="1:8" ht="60" customHeight="1">
      <c r="A10" s="95" t="s">
        <v>1080</v>
      </c>
      <c r="B10" s="46" t="s">
        <v>750</v>
      </c>
      <c r="C10" s="46" t="s">
        <v>1103</v>
      </c>
      <c r="D10" s="46" t="s">
        <v>1104</v>
      </c>
      <c r="E10" s="46" t="s">
        <v>1105</v>
      </c>
      <c r="F10" s="46" t="s">
        <v>703</v>
      </c>
      <c r="G10" s="46" t="s">
        <v>1085</v>
      </c>
      <c r="H10" s="94" t="s">
        <v>703</v>
      </c>
    </row>
    <row r="11" spans="1:8" ht="60" customHeight="1">
      <c r="A11" s="95" t="s">
        <v>1080</v>
      </c>
      <c r="B11" s="46" t="s">
        <v>754</v>
      </c>
      <c r="C11" s="46" t="s">
        <v>1106</v>
      </c>
      <c r="D11" s="46" t="s">
        <v>1107</v>
      </c>
      <c r="E11" s="46" t="s">
        <v>1108</v>
      </c>
      <c r="F11" s="46" t="s">
        <v>703</v>
      </c>
      <c r="G11" s="46" t="s">
        <v>1085</v>
      </c>
      <c r="H11" s="94" t="s">
        <v>703</v>
      </c>
    </row>
    <row r="12" spans="1:8" ht="60" customHeight="1">
      <c r="A12" s="95" t="s">
        <v>1080</v>
      </c>
      <c r="B12" s="46" t="s">
        <v>758</v>
      </c>
      <c r="C12" s="46" t="s">
        <v>1109</v>
      </c>
      <c r="D12" s="46" t="s">
        <v>1110</v>
      </c>
      <c r="E12" s="46" t="s">
        <v>1111</v>
      </c>
      <c r="F12" s="46" t="s">
        <v>1112</v>
      </c>
      <c r="G12" s="46" t="s">
        <v>1085</v>
      </c>
      <c r="H12" s="94" t="s">
        <v>1112</v>
      </c>
    </row>
    <row r="13" spans="1:8" ht="60" customHeight="1">
      <c r="A13" s="95" t="s">
        <v>1080</v>
      </c>
      <c r="B13" s="46" t="s">
        <v>850</v>
      </c>
      <c r="C13" s="46" t="s">
        <v>1113</v>
      </c>
      <c r="D13" s="46" t="s">
        <v>1114</v>
      </c>
      <c r="E13" s="46" t="s">
        <v>1115</v>
      </c>
      <c r="F13" s="46" t="s">
        <v>703</v>
      </c>
      <c r="G13" s="46" t="s">
        <v>707</v>
      </c>
      <c r="H13" s="94" t="s">
        <v>1112</v>
      </c>
    </row>
    <row r="14" spans="1:8" ht="60" customHeight="1">
      <c r="A14" s="95" t="s">
        <v>1080</v>
      </c>
      <c r="B14" s="46" t="s">
        <v>1116</v>
      </c>
      <c r="C14" s="46" t="s">
        <v>1117</v>
      </c>
      <c r="D14" s="46" t="s">
        <v>1118</v>
      </c>
      <c r="E14" s="46" t="s">
        <v>1119</v>
      </c>
      <c r="F14" s="46" t="s">
        <v>703</v>
      </c>
      <c r="G14" s="46" t="s">
        <v>1085</v>
      </c>
      <c r="H14" s="94" t="s">
        <v>703</v>
      </c>
    </row>
    <row r="15" spans="1:8" ht="60" customHeight="1">
      <c r="A15" s="95" t="s">
        <v>1080</v>
      </c>
      <c r="B15" s="46" t="s">
        <v>1120</v>
      </c>
      <c r="C15" s="46" t="s">
        <v>1121</v>
      </c>
      <c r="D15" s="46" t="s">
        <v>1122</v>
      </c>
      <c r="E15" s="46" t="s">
        <v>1123</v>
      </c>
      <c r="F15" s="46" t="s">
        <v>1112</v>
      </c>
      <c r="G15" s="46" t="s">
        <v>1085</v>
      </c>
      <c r="H15" s="94" t="s">
        <v>1112</v>
      </c>
    </row>
    <row r="16" spans="1:8" ht="60" customHeight="1">
      <c r="A16" s="95" t="s">
        <v>1080</v>
      </c>
      <c r="B16" s="46" t="s">
        <v>1124</v>
      </c>
      <c r="C16" s="46" t="s">
        <v>1125</v>
      </c>
      <c r="D16" s="46" t="s">
        <v>1126</v>
      </c>
      <c r="E16" s="46" t="s">
        <v>1127</v>
      </c>
      <c r="F16" s="46" t="s">
        <v>1112</v>
      </c>
      <c r="G16" s="46" t="s">
        <v>1085</v>
      </c>
      <c r="H16" s="94" t="s">
        <v>1112</v>
      </c>
    </row>
    <row r="17" spans="1:8" ht="60" customHeight="1">
      <c r="A17" s="95" t="s">
        <v>1080</v>
      </c>
      <c r="B17" s="46" t="s">
        <v>1128</v>
      </c>
      <c r="C17" s="46" t="s">
        <v>1129</v>
      </c>
      <c r="D17" s="46" t="s">
        <v>1130</v>
      </c>
      <c r="E17" s="46" t="s">
        <v>1131</v>
      </c>
      <c r="F17" s="46" t="s">
        <v>1112</v>
      </c>
      <c r="G17" s="46" t="s">
        <v>1085</v>
      </c>
      <c r="H17" s="94" t="s">
        <v>1112</v>
      </c>
    </row>
    <row r="18" spans="1:8" ht="60" customHeight="1">
      <c r="A18" s="95" t="s">
        <v>1080</v>
      </c>
      <c r="B18" s="46" t="s">
        <v>766</v>
      </c>
      <c r="C18" s="46" t="s">
        <v>1132</v>
      </c>
      <c r="D18" s="46" t="s">
        <v>1133</v>
      </c>
      <c r="E18" s="46" t="s">
        <v>1134</v>
      </c>
      <c r="F18" s="46" t="s">
        <v>703</v>
      </c>
      <c r="G18" s="46" t="s">
        <v>707</v>
      </c>
      <c r="H18" s="94" t="s">
        <v>703</v>
      </c>
    </row>
    <row r="19" spans="1:8" ht="60" customHeight="1">
      <c r="A19" s="95" t="s">
        <v>1080</v>
      </c>
      <c r="B19" s="46" t="s">
        <v>1135</v>
      </c>
      <c r="C19" s="46" t="s">
        <v>1136</v>
      </c>
      <c r="D19" s="46" t="s">
        <v>1137</v>
      </c>
      <c r="E19" s="46" t="s">
        <v>1138</v>
      </c>
      <c r="F19" s="46" t="s">
        <v>703</v>
      </c>
      <c r="G19" s="46" t="s">
        <v>707</v>
      </c>
      <c r="H19" s="94" t="s">
        <v>703</v>
      </c>
    </row>
    <row r="20" spans="1:8" ht="60" customHeight="1">
      <c r="A20" s="95" t="s">
        <v>1080</v>
      </c>
      <c r="B20" s="46" t="s">
        <v>1139</v>
      </c>
      <c r="C20" s="46" t="s">
        <v>1140</v>
      </c>
      <c r="D20" s="46" t="s">
        <v>1141</v>
      </c>
      <c r="E20" s="46" t="s">
        <v>1142</v>
      </c>
      <c r="F20" s="46" t="s">
        <v>703</v>
      </c>
      <c r="G20" s="46" t="s">
        <v>707</v>
      </c>
      <c r="H20" s="94" t="s">
        <v>703</v>
      </c>
    </row>
    <row r="21" spans="1:8" ht="60" customHeight="1">
      <c r="A21" s="95" t="s">
        <v>1080</v>
      </c>
      <c r="B21" s="46" t="s">
        <v>920</v>
      </c>
      <c r="C21" s="46" t="s">
        <v>1143</v>
      </c>
      <c r="D21" s="46" t="s">
        <v>1144</v>
      </c>
      <c r="E21" s="46" t="s">
        <v>1145</v>
      </c>
      <c r="F21" s="46" t="s">
        <v>703</v>
      </c>
      <c r="G21" s="46" t="s">
        <v>707</v>
      </c>
      <c r="H21" s="94" t="s">
        <v>703</v>
      </c>
    </row>
    <row r="22" spans="1:8" ht="60" customHeight="1">
      <c r="A22" s="95" t="s">
        <v>1080</v>
      </c>
      <c r="B22" s="46" t="s">
        <v>922</v>
      </c>
      <c r="C22" s="46" t="s">
        <v>1146</v>
      </c>
      <c r="D22" s="46" t="s">
        <v>1147</v>
      </c>
      <c r="E22" s="46" t="s">
        <v>1148</v>
      </c>
      <c r="F22" s="46" t="s">
        <v>703</v>
      </c>
      <c r="G22" s="46" t="s">
        <v>707</v>
      </c>
      <c r="H22" s="94" t="s">
        <v>1112</v>
      </c>
    </row>
    <row r="23" spans="1:8" ht="60" customHeight="1">
      <c r="A23" s="95" t="s">
        <v>1080</v>
      </c>
      <c r="B23" s="46" t="s">
        <v>921</v>
      </c>
      <c r="C23" s="46" t="s">
        <v>1149</v>
      </c>
      <c r="D23" s="46" t="s">
        <v>1150</v>
      </c>
      <c r="E23" s="46" t="s">
        <v>1151</v>
      </c>
      <c r="F23" s="46" t="s">
        <v>703</v>
      </c>
      <c r="G23" s="46" t="s">
        <v>707</v>
      </c>
      <c r="H23" s="94" t="s">
        <v>703</v>
      </c>
    </row>
    <row r="24" spans="1:8" ht="60" customHeight="1">
      <c r="A24" s="95" t="s">
        <v>1080</v>
      </c>
      <c r="B24" s="46" t="s">
        <v>1152</v>
      </c>
      <c r="C24" s="46" t="s">
        <v>1153</v>
      </c>
      <c r="D24" s="46" t="s">
        <v>1154</v>
      </c>
      <c r="E24" s="46" t="s">
        <v>1155</v>
      </c>
      <c r="F24" s="46" t="s">
        <v>703</v>
      </c>
      <c r="G24" s="46" t="s">
        <v>707</v>
      </c>
      <c r="H24" s="94" t="s">
        <v>1112</v>
      </c>
    </row>
    <row r="25" spans="1:8" ht="60" customHeight="1">
      <c r="A25" s="95" t="s">
        <v>1080</v>
      </c>
      <c r="B25" s="46" t="s">
        <v>1156</v>
      </c>
      <c r="C25" s="46" t="s">
        <v>1157</v>
      </c>
      <c r="D25" s="46" t="s">
        <v>1158</v>
      </c>
      <c r="E25" s="46" t="s">
        <v>1159</v>
      </c>
      <c r="F25" s="46" t="s">
        <v>703</v>
      </c>
      <c r="G25" s="46" t="s">
        <v>707</v>
      </c>
      <c r="H25" s="94" t="s">
        <v>1112</v>
      </c>
    </row>
    <row r="26" spans="1:8" ht="60" customHeight="1">
      <c r="A26" s="95" t="s">
        <v>1080</v>
      </c>
      <c r="B26" s="46" t="s">
        <v>1160</v>
      </c>
      <c r="C26" s="46" t="s">
        <v>1161</v>
      </c>
      <c r="D26" s="46" t="s">
        <v>1162</v>
      </c>
      <c r="E26" s="46" t="s">
        <v>1163</v>
      </c>
      <c r="F26" s="46" t="s">
        <v>1112</v>
      </c>
      <c r="G26" s="46" t="s">
        <v>707</v>
      </c>
      <c r="H26" s="94" t="s">
        <v>1112</v>
      </c>
    </row>
    <row r="27" spans="1:8" ht="60" customHeight="1">
      <c r="A27" s="95" t="s">
        <v>1080</v>
      </c>
      <c r="B27" s="46" t="s">
        <v>1164</v>
      </c>
      <c r="C27" s="46" t="s">
        <v>1165</v>
      </c>
      <c r="D27" s="46" t="s">
        <v>1166</v>
      </c>
      <c r="E27" s="46" t="s">
        <v>1167</v>
      </c>
      <c r="F27" s="46" t="s">
        <v>703</v>
      </c>
      <c r="G27" s="46" t="s">
        <v>1168</v>
      </c>
      <c r="H27" s="94" t="s">
        <v>703</v>
      </c>
    </row>
    <row r="28" spans="1:8" ht="60" customHeight="1">
      <c r="A28" s="95" t="s">
        <v>1080</v>
      </c>
      <c r="B28" s="46" t="s">
        <v>1169</v>
      </c>
      <c r="C28" s="46" t="s">
        <v>1170</v>
      </c>
      <c r="D28" s="46" t="s">
        <v>1171</v>
      </c>
      <c r="E28" s="46" t="s">
        <v>1172</v>
      </c>
      <c r="F28" s="46" t="s">
        <v>703</v>
      </c>
      <c r="G28" s="46" t="s">
        <v>1085</v>
      </c>
      <c r="H28" s="94" t="s">
        <v>1112</v>
      </c>
    </row>
    <row r="29" spans="1:8" ht="60" customHeight="1">
      <c r="A29" s="95" t="s">
        <v>1080</v>
      </c>
      <c r="B29" s="46" t="s">
        <v>1173</v>
      </c>
      <c r="C29" s="46" t="s">
        <v>1174</v>
      </c>
      <c r="D29" s="46" t="s">
        <v>1175</v>
      </c>
      <c r="E29" s="46" t="s">
        <v>1176</v>
      </c>
      <c r="F29" s="46" t="s">
        <v>1112</v>
      </c>
      <c r="G29" s="46" t="s">
        <v>1085</v>
      </c>
      <c r="H29" s="94" t="s">
        <v>1112</v>
      </c>
    </row>
    <row r="30" spans="1:8" ht="60" customHeight="1">
      <c r="A30" s="95" t="s">
        <v>1080</v>
      </c>
      <c r="B30" s="46" t="s">
        <v>763</v>
      </c>
      <c r="C30" s="46" t="s">
        <v>1177</v>
      </c>
      <c r="D30" s="46" t="s">
        <v>1178</v>
      </c>
      <c r="E30" s="46" t="s">
        <v>1179</v>
      </c>
      <c r="F30" s="46" t="s">
        <v>703</v>
      </c>
      <c r="G30" s="46" t="s">
        <v>1180</v>
      </c>
      <c r="H30" s="94" t="s">
        <v>703</v>
      </c>
    </row>
    <row r="31" spans="1:8" ht="60" customHeight="1">
      <c r="A31" s="95" t="s">
        <v>1080</v>
      </c>
      <c r="B31" s="46" t="s">
        <v>1181</v>
      </c>
      <c r="C31" s="46" t="s">
        <v>1182</v>
      </c>
      <c r="D31" s="46" t="s">
        <v>1183</v>
      </c>
      <c r="E31" s="46" t="s">
        <v>1184</v>
      </c>
      <c r="F31" s="46" t="s">
        <v>703</v>
      </c>
      <c r="G31" s="46" t="s">
        <v>1180</v>
      </c>
      <c r="H31" s="94" t="s">
        <v>703</v>
      </c>
    </row>
    <row r="32" spans="1:8" ht="60" customHeight="1">
      <c r="A32" s="95" t="s">
        <v>1080</v>
      </c>
      <c r="B32" s="46" t="s">
        <v>1185</v>
      </c>
      <c r="C32" s="46" t="s">
        <v>1186</v>
      </c>
      <c r="D32" s="46" t="s">
        <v>1187</v>
      </c>
      <c r="E32" s="46" t="s">
        <v>1188</v>
      </c>
      <c r="F32" s="46" t="s">
        <v>1112</v>
      </c>
      <c r="G32" s="46" t="s">
        <v>1180</v>
      </c>
      <c r="H32" s="94" t="s">
        <v>1112</v>
      </c>
    </row>
    <row r="33" spans="1:8" ht="60" customHeight="1">
      <c r="A33" s="95" t="s">
        <v>1189</v>
      </c>
      <c r="B33" s="46" t="s">
        <v>697</v>
      </c>
      <c r="C33" s="46" t="s">
        <v>698</v>
      </c>
      <c r="D33" s="46" t="s">
        <v>1190</v>
      </c>
      <c r="E33" s="46" t="s">
        <v>1191</v>
      </c>
      <c r="F33" s="46" t="s">
        <v>703</v>
      </c>
      <c r="G33" s="46" t="s">
        <v>701</v>
      </c>
      <c r="H33" s="94" t="s">
        <v>703</v>
      </c>
    </row>
    <row r="34" spans="1:8" ht="60" customHeight="1">
      <c r="A34" s="95" t="s">
        <v>1189</v>
      </c>
      <c r="B34" s="46" t="s">
        <v>704</v>
      </c>
      <c r="C34" s="46" t="s">
        <v>1192</v>
      </c>
      <c r="D34" s="46" t="s">
        <v>1193</v>
      </c>
      <c r="E34" s="46" t="s">
        <v>1194</v>
      </c>
      <c r="F34" s="46" t="s">
        <v>703</v>
      </c>
      <c r="G34" s="46" t="s">
        <v>707</v>
      </c>
      <c r="H34" s="94" t="s">
        <v>703</v>
      </c>
    </row>
    <row r="35" spans="1:8" ht="60" customHeight="1">
      <c r="A35" s="95" t="s">
        <v>1189</v>
      </c>
      <c r="B35" s="46" t="s">
        <v>708</v>
      </c>
      <c r="C35" s="46" t="s">
        <v>709</v>
      </c>
      <c r="D35" s="46" t="s">
        <v>1195</v>
      </c>
      <c r="E35" s="46" t="s">
        <v>1196</v>
      </c>
      <c r="F35" s="46" t="s">
        <v>703</v>
      </c>
      <c r="G35" s="46" t="s">
        <v>707</v>
      </c>
      <c r="H35" s="94" t="s">
        <v>703</v>
      </c>
    </row>
    <row r="36" spans="1:8" ht="60" customHeight="1">
      <c r="A36" s="95" t="s">
        <v>1189</v>
      </c>
      <c r="B36" s="46" t="s">
        <v>712</v>
      </c>
      <c r="C36" s="46" t="s">
        <v>1197</v>
      </c>
      <c r="D36" s="46" t="s">
        <v>1198</v>
      </c>
      <c r="E36" s="46" t="s">
        <v>1199</v>
      </c>
      <c r="F36" s="46" t="s">
        <v>703</v>
      </c>
      <c r="G36" s="46" t="s">
        <v>707</v>
      </c>
      <c r="H36" s="94" t="s">
        <v>703</v>
      </c>
    </row>
    <row r="37" spans="1:8" ht="60" customHeight="1">
      <c r="A37" s="95" t="s">
        <v>1189</v>
      </c>
      <c r="B37" s="46" t="s">
        <v>1200</v>
      </c>
      <c r="C37" s="46" t="s">
        <v>1201</v>
      </c>
      <c r="D37" s="46" t="s">
        <v>1202</v>
      </c>
      <c r="E37" s="46" t="s">
        <v>1203</v>
      </c>
      <c r="F37" s="46" t="s">
        <v>703</v>
      </c>
      <c r="G37" s="46" t="s">
        <v>701</v>
      </c>
      <c r="H37" s="94" t="s">
        <v>703</v>
      </c>
    </row>
    <row r="38" spans="1:8" ht="60" customHeight="1">
      <c r="A38" s="95" t="s">
        <v>1189</v>
      </c>
      <c r="B38" s="46" t="s">
        <v>1204</v>
      </c>
      <c r="C38" s="46" t="s">
        <v>1205</v>
      </c>
      <c r="D38" s="46" t="s">
        <v>1206</v>
      </c>
      <c r="E38" s="46" t="s">
        <v>1207</v>
      </c>
      <c r="F38" s="46" t="s">
        <v>703</v>
      </c>
      <c r="G38" s="46" t="s">
        <v>701</v>
      </c>
      <c r="H38" s="94" t="s">
        <v>703</v>
      </c>
    </row>
    <row r="39" spans="1:8" ht="60" customHeight="1">
      <c r="A39" s="95" t="s">
        <v>1189</v>
      </c>
      <c r="B39" s="46" t="s">
        <v>729</v>
      </c>
      <c r="C39" s="46" t="s">
        <v>1208</v>
      </c>
      <c r="D39" s="46" t="s">
        <v>1209</v>
      </c>
      <c r="E39" s="46" t="s">
        <v>1210</v>
      </c>
      <c r="F39" s="46" t="s">
        <v>1112</v>
      </c>
      <c r="G39" s="46" t="s">
        <v>701</v>
      </c>
      <c r="H39" s="94" t="s">
        <v>703</v>
      </c>
    </row>
    <row r="40" spans="1:8" ht="60" customHeight="1">
      <c r="A40" s="95" t="s">
        <v>1189</v>
      </c>
      <c r="B40" s="46" t="s">
        <v>732</v>
      </c>
      <c r="C40" s="46" t="s">
        <v>1211</v>
      </c>
      <c r="D40" s="46" t="s">
        <v>1212</v>
      </c>
      <c r="E40" s="46" t="s">
        <v>1213</v>
      </c>
      <c r="F40" s="46" t="s">
        <v>1112</v>
      </c>
      <c r="G40" s="46" t="s">
        <v>701</v>
      </c>
      <c r="H40" s="94" t="s">
        <v>703</v>
      </c>
    </row>
    <row r="41" spans="1:8" ht="60" customHeight="1">
      <c r="A41" s="95" t="s">
        <v>1189</v>
      </c>
      <c r="B41" s="46" t="s">
        <v>722</v>
      </c>
      <c r="C41" s="46" t="s">
        <v>1214</v>
      </c>
      <c r="D41" s="46" t="s">
        <v>1215</v>
      </c>
      <c r="E41" s="46" t="s">
        <v>1216</v>
      </c>
      <c r="F41" s="46" t="s">
        <v>703</v>
      </c>
      <c r="G41" s="46" t="s">
        <v>707</v>
      </c>
      <c r="H41" s="94" t="s">
        <v>703</v>
      </c>
    </row>
    <row r="42" spans="1:8" ht="60" customHeight="1">
      <c r="A42" s="95" t="s">
        <v>1189</v>
      </c>
      <c r="B42" s="46" t="s">
        <v>1217</v>
      </c>
      <c r="C42" s="46" t="s">
        <v>1218</v>
      </c>
      <c r="D42" s="46" t="s">
        <v>1219</v>
      </c>
      <c r="E42" s="46" t="s">
        <v>1220</v>
      </c>
      <c r="F42" s="46" t="s">
        <v>703</v>
      </c>
      <c r="G42" s="46" t="s">
        <v>707</v>
      </c>
      <c r="H42" s="94" t="s">
        <v>703</v>
      </c>
    </row>
    <row r="43" spans="1:8" ht="60" customHeight="1">
      <c r="A43" s="95" t="s">
        <v>1189</v>
      </c>
      <c r="B43" s="46" t="s">
        <v>1221</v>
      </c>
      <c r="C43" s="46" t="s">
        <v>1222</v>
      </c>
      <c r="D43" s="46" t="s">
        <v>1223</v>
      </c>
      <c r="E43" s="46" t="s">
        <v>1224</v>
      </c>
      <c r="F43" s="46" t="s">
        <v>1112</v>
      </c>
      <c r="G43" s="46" t="s">
        <v>701</v>
      </c>
      <c r="H43" s="94" t="s">
        <v>1112</v>
      </c>
    </row>
    <row r="44" spans="1:8" ht="60" customHeight="1">
      <c r="A44" s="95" t="s">
        <v>1189</v>
      </c>
      <c r="B44" s="46" t="s">
        <v>1225</v>
      </c>
      <c r="C44" s="46" t="s">
        <v>1226</v>
      </c>
      <c r="D44" s="46" t="s">
        <v>1227</v>
      </c>
      <c r="E44" s="46" t="s">
        <v>1228</v>
      </c>
      <c r="F44" s="46" t="s">
        <v>703</v>
      </c>
      <c r="G44" s="46" t="s">
        <v>721</v>
      </c>
      <c r="H44" s="94" t="s">
        <v>703</v>
      </c>
    </row>
    <row r="45" spans="1:8" ht="60" customHeight="1">
      <c r="A45" s="95" t="s">
        <v>1189</v>
      </c>
      <c r="B45" s="46" t="s">
        <v>1229</v>
      </c>
      <c r="C45" s="46" t="s">
        <v>1230</v>
      </c>
      <c r="D45" s="46" t="s">
        <v>1231</v>
      </c>
      <c r="E45" s="46" t="s">
        <v>1232</v>
      </c>
      <c r="F45" s="46" t="s">
        <v>1112</v>
      </c>
      <c r="G45" s="46" t="s">
        <v>701</v>
      </c>
      <c r="H45" s="94" t="s">
        <v>1112</v>
      </c>
    </row>
    <row r="46" spans="1:8" ht="60" customHeight="1">
      <c r="A46" s="95" t="s">
        <v>1233</v>
      </c>
      <c r="B46" s="46" t="s">
        <v>1234</v>
      </c>
      <c r="C46" s="46" t="s">
        <v>1235</v>
      </c>
      <c r="D46" s="46" t="s">
        <v>1236</v>
      </c>
      <c r="E46" s="46" t="s">
        <v>1237</v>
      </c>
      <c r="F46" s="46" t="s">
        <v>703</v>
      </c>
      <c r="G46" s="46" t="s">
        <v>721</v>
      </c>
      <c r="H46" s="94" t="s">
        <v>703</v>
      </c>
    </row>
    <row r="47" spans="1:8" ht="60" customHeight="1">
      <c r="A47" s="95" t="s">
        <v>1233</v>
      </c>
      <c r="B47" s="46" t="s">
        <v>1238</v>
      </c>
      <c r="C47" s="46" t="s">
        <v>1239</v>
      </c>
      <c r="D47" s="46" t="s">
        <v>1240</v>
      </c>
      <c r="E47" s="46" t="s">
        <v>1241</v>
      </c>
      <c r="F47" s="46" t="s">
        <v>1112</v>
      </c>
      <c r="G47" s="46" t="s">
        <v>721</v>
      </c>
      <c r="H47" s="94" t="s">
        <v>703</v>
      </c>
    </row>
    <row r="48" spans="1:8" ht="60" customHeight="1">
      <c r="A48" s="95" t="s">
        <v>1233</v>
      </c>
      <c r="B48" s="46" t="s">
        <v>779</v>
      </c>
      <c r="C48" s="46" t="s">
        <v>1242</v>
      </c>
      <c r="D48" s="46" t="s">
        <v>1243</v>
      </c>
      <c r="E48" s="46" t="s">
        <v>1244</v>
      </c>
      <c r="F48" s="46" t="s">
        <v>703</v>
      </c>
      <c r="G48" s="46" t="s">
        <v>721</v>
      </c>
      <c r="H48" s="94" t="s">
        <v>703</v>
      </c>
    </row>
    <row r="49" spans="1:8" ht="60" customHeight="1">
      <c r="A49" s="95" t="s">
        <v>1233</v>
      </c>
      <c r="B49" s="46" t="s">
        <v>1245</v>
      </c>
      <c r="C49" s="46" t="s">
        <v>1246</v>
      </c>
      <c r="D49" s="46" t="s">
        <v>1247</v>
      </c>
      <c r="E49" s="46" t="s">
        <v>1248</v>
      </c>
      <c r="F49" s="46" t="s">
        <v>703</v>
      </c>
      <c r="G49" s="46" t="s">
        <v>721</v>
      </c>
      <c r="H49" s="94" t="s">
        <v>703</v>
      </c>
    </row>
    <row r="50" spans="1:8" ht="60" customHeight="1">
      <c r="A50" s="95" t="s">
        <v>1233</v>
      </c>
      <c r="B50" s="46" t="s">
        <v>1249</v>
      </c>
      <c r="C50" s="46" t="s">
        <v>1250</v>
      </c>
      <c r="D50" s="46" t="s">
        <v>1251</v>
      </c>
      <c r="E50" s="46" t="s">
        <v>1252</v>
      </c>
      <c r="F50" s="46" t="s">
        <v>1112</v>
      </c>
      <c r="G50" s="46" t="s">
        <v>721</v>
      </c>
      <c r="H50" s="94" t="s">
        <v>703</v>
      </c>
    </row>
    <row r="51" spans="1:8" ht="60" customHeight="1">
      <c r="A51" s="95" t="s">
        <v>1233</v>
      </c>
      <c r="B51" s="46" t="s">
        <v>1253</v>
      </c>
      <c r="C51" s="46" t="s">
        <v>1254</v>
      </c>
      <c r="D51" s="46" t="s">
        <v>1255</v>
      </c>
      <c r="E51" s="46" t="s">
        <v>1256</v>
      </c>
      <c r="F51" s="46" t="s">
        <v>1112</v>
      </c>
      <c r="G51" s="46" t="s">
        <v>721</v>
      </c>
      <c r="H51" s="94" t="s">
        <v>703</v>
      </c>
    </row>
    <row r="52" spans="1:8" ht="60" customHeight="1">
      <c r="A52" s="95" t="s">
        <v>1233</v>
      </c>
      <c r="B52" s="46" t="s">
        <v>1257</v>
      </c>
      <c r="C52" s="46" t="s">
        <v>1258</v>
      </c>
      <c r="D52" s="46" t="s">
        <v>1259</v>
      </c>
      <c r="E52" s="46" t="s">
        <v>1260</v>
      </c>
      <c r="F52" s="46" t="s">
        <v>703</v>
      </c>
      <c r="G52" s="46" t="s">
        <v>721</v>
      </c>
      <c r="H52" s="94" t="s">
        <v>703</v>
      </c>
    </row>
    <row r="53" spans="1:8" ht="60" customHeight="1">
      <c r="A53" s="95" t="s">
        <v>1233</v>
      </c>
      <c r="B53" s="46" t="s">
        <v>1261</v>
      </c>
      <c r="C53" s="46" t="s">
        <v>1262</v>
      </c>
      <c r="D53" s="46" t="s">
        <v>1263</v>
      </c>
      <c r="E53" s="46" t="s">
        <v>1264</v>
      </c>
      <c r="F53" s="46" t="s">
        <v>703</v>
      </c>
      <c r="G53" s="46" t="s">
        <v>721</v>
      </c>
      <c r="H53" s="94" t="s">
        <v>703</v>
      </c>
    </row>
    <row r="54" spans="1:8" ht="60" customHeight="1">
      <c r="A54" s="95" t="s">
        <v>1233</v>
      </c>
      <c r="B54" s="46" t="s">
        <v>1265</v>
      </c>
      <c r="C54" s="46" t="s">
        <v>1266</v>
      </c>
      <c r="D54" s="46" t="s">
        <v>1267</v>
      </c>
      <c r="E54" s="46" t="s">
        <v>1268</v>
      </c>
      <c r="F54" s="46" t="s">
        <v>703</v>
      </c>
      <c r="G54" s="46" t="s">
        <v>1168</v>
      </c>
      <c r="H54" s="94" t="s">
        <v>703</v>
      </c>
    </row>
    <row r="55" spans="1:8" ht="60" customHeight="1">
      <c r="A55" s="95" t="s">
        <v>1233</v>
      </c>
      <c r="B55" s="46" t="s">
        <v>1269</v>
      </c>
      <c r="C55" s="46" t="s">
        <v>1270</v>
      </c>
      <c r="D55" s="46" t="s">
        <v>1271</v>
      </c>
      <c r="E55" s="46" t="s">
        <v>1272</v>
      </c>
      <c r="F55" s="46" t="s">
        <v>1112</v>
      </c>
      <c r="G55" s="46" t="s">
        <v>707</v>
      </c>
      <c r="H55" s="94" t="s">
        <v>703</v>
      </c>
    </row>
    <row r="56" spans="1:8" ht="60" customHeight="1">
      <c r="A56" s="95" t="s">
        <v>1233</v>
      </c>
      <c r="B56" s="46" t="s">
        <v>1273</v>
      </c>
      <c r="C56" s="46" t="s">
        <v>1274</v>
      </c>
      <c r="D56" s="46" t="s">
        <v>1275</v>
      </c>
      <c r="E56" s="46" t="s">
        <v>1276</v>
      </c>
      <c r="F56" s="46" t="s">
        <v>703</v>
      </c>
      <c r="G56" s="46" t="s">
        <v>785</v>
      </c>
      <c r="H56" s="94" t="s">
        <v>703</v>
      </c>
    </row>
    <row r="57" spans="1:8" ht="60" customHeight="1">
      <c r="A57" s="95" t="s">
        <v>1233</v>
      </c>
      <c r="B57" s="46" t="s">
        <v>1277</v>
      </c>
      <c r="C57" s="46" t="s">
        <v>1278</v>
      </c>
      <c r="D57" s="46" t="s">
        <v>1279</v>
      </c>
      <c r="E57" s="46" t="s">
        <v>1280</v>
      </c>
      <c r="F57" s="46" t="s">
        <v>703</v>
      </c>
      <c r="G57" s="46" t="s">
        <v>785</v>
      </c>
      <c r="H57" s="94" t="s">
        <v>703</v>
      </c>
    </row>
    <row r="58" spans="1:8" ht="60" customHeight="1">
      <c r="A58" s="95" t="s">
        <v>1233</v>
      </c>
      <c r="B58" s="46" t="s">
        <v>1281</v>
      </c>
      <c r="C58" s="46" t="s">
        <v>1282</v>
      </c>
      <c r="D58" s="46" t="s">
        <v>1283</v>
      </c>
      <c r="E58" s="46" t="s">
        <v>1284</v>
      </c>
      <c r="F58" s="46" t="s">
        <v>703</v>
      </c>
      <c r="G58" s="46" t="s">
        <v>785</v>
      </c>
      <c r="H58" s="94" t="s">
        <v>703</v>
      </c>
    </row>
    <row r="59" spans="1:8" ht="60" customHeight="1">
      <c r="A59" s="95" t="s">
        <v>1233</v>
      </c>
      <c r="B59" s="46" t="s">
        <v>790</v>
      </c>
      <c r="C59" s="46" t="s">
        <v>1285</v>
      </c>
      <c r="D59" s="46" t="s">
        <v>1286</v>
      </c>
      <c r="E59" s="46" t="s">
        <v>1287</v>
      </c>
      <c r="F59" s="46" t="s">
        <v>703</v>
      </c>
      <c r="G59" s="46" t="s">
        <v>785</v>
      </c>
      <c r="H59" s="94" t="s">
        <v>703</v>
      </c>
    </row>
    <row r="60" spans="1:8" ht="60" customHeight="1">
      <c r="A60" s="95" t="s">
        <v>1233</v>
      </c>
      <c r="B60" s="46" t="s">
        <v>1288</v>
      </c>
      <c r="C60" s="46" t="s">
        <v>1289</v>
      </c>
      <c r="D60" s="46" t="s">
        <v>1290</v>
      </c>
      <c r="E60" s="46" t="s">
        <v>1291</v>
      </c>
      <c r="F60" s="46" t="s">
        <v>703</v>
      </c>
      <c r="G60" s="46" t="s">
        <v>785</v>
      </c>
      <c r="H60" s="94" t="s">
        <v>703</v>
      </c>
    </row>
    <row r="61" spans="1:8" ht="60" customHeight="1">
      <c r="A61" s="95" t="s">
        <v>1233</v>
      </c>
      <c r="B61" s="46" t="s">
        <v>1292</v>
      </c>
      <c r="C61" s="46" t="s">
        <v>1293</v>
      </c>
      <c r="D61" s="46" t="s">
        <v>1294</v>
      </c>
      <c r="E61" s="46" t="s">
        <v>1295</v>
      </c>
      <c r="F61" s="46" t="s">
        <v>1112</v>
      </c>
      <c r="G61" s="46" t="s">
        <v>785</v>
      </c>
      <c r="H61" s="94" t="s">
        <v>1112</v>
      </c>
    </row>
    <row r="62" spans="1:8" ht="60" customHeight="1">
      <c r="A62" s="95" t="s">
        <v>1233</v>
      </c>
      <c r="B62" s="46" t="s">
        <v>1296</v>
      </c>
      <c r="C62" s="46" t="s">
        <v>1297</v>
      </c>
      <c r="D62" s="46" t="s">
        <v>1298</v>
      </c>
      <c r="E62" s="46" t="s">
        <v>1299</v>
      </c>
      <c r="F62" s="46" t="s">
        <v>1300</v>
      </c>
      <c r="G62" s="46" t="s">
        <v>707</v>
      </c>
      <c r="H62" s="94" t="s">
        <v>1112</v>
      </c>
    </row>
    <row r="63" spans="1:8" ht="60" customHeight="1">
      <c r="A63" s="95" t="s">
        <v>1301</v>
      </c>
      <c r="B63" s="46" t="s">
        <v>1302</v>
      </c>
      <c r="C63" s="46" t="s">
        <v>1303</v>
      </c>
      <c r="D63" s="46" t="s">
        <v>1304</v>
      </c>
      <c r="E63" s="46" t="s">
        <v>1305</v>
      </c>
      <c r="F63" s="46" t="s">
        <v>703</v>
      </c>
      <c r="G63" s="46" t="s">
        <v>707</v>
      </c>
      <c r="H63" s="94" t="s">
        <v>703</v>
      </c>
    </row>
    <row r="64" spans="1:8" ht="60" customHeight="1">
      <c r="A64" s="95" t="s">
        <v>1301</v>
      </c>
      <c r="B64" s="46" t="s">
        <v>1306</v>
      </c>
      <c r="C64" s="46" t="s">
        <v>1307</v>
      </c>
      <c r="D64" s="46" t="s">
        <v>1308</v>
      </c>
      <c r="E64" s="46" t="s">
        <v>1102</v>
      </c>
      <c r="F64" s="46" t="s">
        <v>703</v>
      </c>
      <c r="G64" s="46" t="s">
        <v>707</v>
      </c>
      <c r="H64" s="94" t="s">
        <v>703</v>
      </c>
    </row>
    <row r="65" spans="1:8" ht="60" customHeight="1">
      <c r="A65" s="95" t="s">
        <v>1301</v>
      </c>
      <c r="B65" s="46" t="s">
        <v>1309</v>
      </c>
      <c r="C65" s="46" t="s">
        <v>1310</v>
      </c>
      <c r="D65" s="46" t="s">
        <v>1311</v>
      </c>
      <c r="E65" s="46" t="s">
        <v>1312</v>
      </c>
      <c r="F65" s="46" t="s">
        <v>703</v>
      </c>
      <c r="G65" s="46" t="s">
        <v>707</v>
      </c>
      <c r="H65" s="94" t="s">
        <v>703</v>
      </c>
    </row>
    <row r="66" spans="1:8" ht="60" customHeight="1">
      <c r="A66" s="95" t="s">
        <v>1301</v>
      </c>
      <c r="B66" s="46" t="s">
        <v>1313</v>
      </c>
      <c r="C66" s="46" t="s">
        <v>1314</v>
      </c>
      <c r="D66" s="46" t="s">
        <v>1315</v>
      </c>
      <c r="E66" s="46" t="s">
        <v>1316</v>
      </c>
      <c r="F66" s="46" t="s">
        <v>703</v>
      </c>
      <c r="G66" s="46" t="s">
        <v>707</v>
      </c>
      <c r="H66" s="94" t="s">
        <v>703</v>
      </c>
    </row>
    <row r="67" spans="1:8" ht="60" customHeight="1">
      <c r="A67" s="95" t="s">
        <v>1301</v>
      </c>
      <c r="B67" s="46" t="s">
        <v>1317</v>
      </c>
      <c r="C67" s="46" t="s">
        <v>1318</v>
      </c>
      <c r="D67" s="46" t="s">
        <v>1319</v>
      </c>
      <c r="E67" s="46" t="s">
        <v>1320</v>
      </c>
      <c r="F67" s="46" t="s">
        <v>703</v>
      </c>
      <c r="G67" s="46" t="s">
        <v>707</v>
      </c>
      <c r="H67" s="94" t="s">
        <v>703</v>
      </c>
    </row>
    <row r="68" spans="1:8" ht="60" customHeight="1">
      <c r="A68" s="95" t="s">
        <v>1301</v>
      </c>
      <c r="B68" s="46" t="s">
        <v>1321</v>
      </c>
      <c r="C68" s="46" t="s">
        <v>1322</v>
      </c>
      <c r="D68" s="46" t="s">
        <v>1323</v>
      </c>
      <c r="E68" s="46" t="s">
        <v>1324</v>
      </c>
      <c r="F68" s="46" t="s">
        <v>1112</v>
      </c>
      <c r="G68" s="46" t="s">
        <v>1168</v>
      </c>
      <c r="H68" s="94" t="s">
        <v>703</v>
      </c>
    </row>
    <row r="69" spans="1:8" ht="60" customHeight="1">
      <c r="A69" s="95" t="s">
        <v>1301</v>
      </c>
      <c r="B69" s="46" t="s">
        <v>1325</v>
      </c>
      <c r="C69" s="46" t="s">
        <v>1326</v>
      </c>
      <c r="D69" s="46" t="s">
        <v>1327</v>
      </c>
      <c r="E69" s="46" t="s">
        <v>1328</v>
      </c>
      <c r="F69" s="46" t="s">
        <v>703</v>
      </c>
      <c r="G69" s="46" t="s">
        <v>1168</v>
      </c>
      <c r="H69" s="94" t="s">
        <v>703</v>
      </c>
    </row>
    <row r="70" spans="1:8" ht="60" customHeight="1">
      <c r="A70" s="95" t="s">
        <v>1301</v>
      </c>
      <c r="B70" s="46" t="s">
        <v>1329</v>
      </c>
      <c r="C70" s="46" t="s">
        <v>1330</v>
      </c>
      <c r="D70" s="46" t="s">
        <v>1331</v>
      </c>
      <c r="E70" s="46" t="s">
        <v>1332</v>
      </c>
      <c r="F70" s="46" t="s">
        <v>1112</v>
      </c>
      <c r="G70" s="46" t="s">
        <v>1168</v>
      </c>
      <c r="H70" s="94" t="s">
        <v>703</v>
      </c>
    </row>
    <row r="71" spans="1:8" ht="60" customHeight="1">
      <c r="A71" s="95" t="s">
        <v>1301</v>
      </c>
      <c r="B71" s="46" t="s">
        <v>1333</v>
      </c>
      <c r="C71" s="46" t="s">
        <v>1334</v>
      </c>
      <c r="D71" s="46" t="s">
        <v>1335</v>
      </c>
      <c r="E71" s="46" t="s">
        <v>1336</v>
      </c>
      <c r="F71" s="46" t="s">
        <v>703</v>
      </c>
      <c r="G71" s="46" t="s">
        <v>707</v>
      </c>
      <c r="H71" s="94" t="s">
        <v>703</v>
      </c>
    </row>
    <row r="72" spans="1:8" ht="60" customHeight="1">
      <c r="A72" s="95" t="s">
        <v>1301</v>
      </c>
      <c r="B72" s="46" t="s">
        <v>1337</v>
      </c>
      <c r="C72" s="46" t="s">
        <v>1338</v>
      </c>
      <c r="D72" s="46" t="s">
        <v>1339</v>
      </c>
      <c r="E72" s="46" t="s">
        <v>1340</v>
      </c>
      <c r="F72" s="46" t="s">
        <v>703</v>
      </c>
      <c r="G72" s="46" t="s">
        <v>707</v>
      </c>
      <c r="H72" s="94" t="s">
        <v>703</v>
      </c>
    </row>
    <row r="73" spans="1:8" ht="60" customHeight="1">
      <c r="A73" s="95" t="s">
        <v>1341</v>
      </c>
      <c r="B73" s="46" t="s">
        <v>1342</v>
      </c>
      <c r="C73" s="46" t="s">
        <v>1343</v>
      </c>
      <c r="D73" s="46" t="s">
        <v>1344</v>
      </c>
      <c r="E73" s="46" t="s">
        <v>1345</v>
      </c>
      <c r="F73" s="46" t="s">
        <v>703</v>
      </c>
      <c r="G73" s="46" t="s">
        <v>707</v>
      </c>
      <c r="H73" s="94" t="s">
        <v>703</v>
      </c>
    </row>
    <row r="74" spans="1:8" ht="60" customHeight="1">
      <c r="A74" s="95" t="s">
        <v>1341</v>
      </c>
      <c r="B74" s="46" t="s">
        <v>1346</v>
      </c>
      <c r="C74" s="46" t="s">
        <v>1347</v>
      </c>
      <c r="D74" s="46" t="s">
        <v>1348</v>
      </c>
      <c r="E74" s="46" t="s">
        <v>1349</v>
      </c>
      <c r="F74" s="46" t="s">
        <v>703</v>
      </c>
      <c r="G74" s="46" t="s">
        <v>707</v>
      </c>
      <c r="H74" s="94" t="s">
        <v>703</v>
      </c>
    </row>
    <row r="75" spans="1:8" ht="60" customHeight="1">
      <c r="A75" s="95" t="s">
        <v>1341</v>
      </c>
      <c r="B75" s="46" t="s">
        <v>1350</v>
      </c>
      <c r="C75" s="46" t="s">
        <v>1351</v>
      </c>
      <c r="D75" s="46" t="s">
        <v>1352</v>
      </c>
      <c r="E75" s="46" t="s">
        <v>1353</v>
      </c>
      <c r="F75" s="46" t="s">
        <v>703</v>
      </c>
      <c r="G75" s="46" t="s">
        <v>707</v>
      </c>
      <c r="H75" s="94" t="s">
        <v>703</v>
      </c>
    </row>
    <row r="76" spans="1:8" ht="60" customHeight="1">
      <c r="A76" s="95" t="s">
        <v>1341</v>
      </c>
      <c r="B76" s="46" t="s">
        <v>1354</v>
      </c>
      <c r="C76" s="46" t="s">
        <v>1355</v>
      </c>
      <c r="D76" s="46" t="s">
        <v>1356</v>
      </c>
      <c r="E76" s="46" t="s">
        <v>1357</v>
      </c>
      <c r="F76" s="46" t="s">
        <v>703</v>
      </c>
      <c r="G76" s="46" t="s">
        <v>1180</v>
      </c>
      <c r="H76" s="94" t="s">
        <v>703</v>
      </c>
    </row>
    <row r="77" spans="1:8" ht="60" customHeight="1">
      <c r="A77" s="95" t="s">
        <v>1341</v>
      </c>
      <c r="B77" s="46" t="s">
        <v>1358</v>
      </c>
      <c r="C77" s="46" t="s">
        <v>1359</v>
      </c>
      <c r="D77" s="46" t="s">
        <v>1360</v>
      </c>
      <c r="E77" s="46" t="s">
        <v>1361</v>
      </c>
      <c r="F77" s="46" t="s">
        <v>1112</v>
      </c>
      <c r="G77" s="46" t="s">
        <v>707</v>
      </c>
      <c r="H77" s="94" t="s">
        <v>703</v>
      </c>
    </row>
    <row r="78" spans="1:8" ht="60" customHeight="1">
      <c r="A78" s="95" t="s">
        <v>1341</v>
      </c>
      <c r="B78" s="46" t="s">
        <v>1362</v>
      </c>
      <c r="C78" s="46" t="s">
        <v>1363</v>
      </c>
      <c r="D78" s="46" t="s">
        <v>1364</v>
      </c>
      <c r="E78" s="46" t="s">
        <v>1365</v>
      </c>
      <c r="F78" s="46" t="s">
        <v>1112</v>
      </c>
      <c r="G78" s="46" t="s">
        <v>707</v>
      </c>
      <c r="H78" s="94" t="s">
        <v>703</v>
      </c>
    </row>
    <row r="79" spans="1:8" ht="60" customHeight="1">
      <c r="A79" s="95" t="s">
        <v>1341</v>
      </c>
      <c r="B79" s="46" t="s">
        <v>1366</v>
      </c>
      <c r="C79" s="46" t="s">
        <v>1367</v>
      </c>
      <c r="D79" s="46" t="s">
        <v>1368</v>
      </c>
      <c r="E79" s="46" t="s">
        <v>1369</v>
      </c>
      <c r="F79" s="46" t="s">
        <v>703</v>
      </c>
      <c r="G79" s="46" t="s">
        <v>707</v>
      </c>
      <c r="H79" s="94" t="s">
        <v>703</v>
      </c>
    </row>
    <row r="80" spans="1:8" ht="60" customHeight="1">
      <c r="A80" s="95" t="s">
        <v>1341</v>
      </c>
      <c r="B80" s="46" t="s">
        <v>1370</v>
      </c>
      <c r="C80" s="46" t="s">
        <v>1371</v>
      </c>
      <c r="D80" s="46" t="s">
        <v>1372</v>
      </c>
      <c r="E80" s="46" t="s">
        <v>1373</v>
      </c>
      <c r="F80" s="46" t="s">
        <v>1112</v>
      </c>
      <c r="G80" s="46" t="s">
        <v>707</v>
      </c>
      <c r="H80" s="94" t="s">
        <v>703</v>
      </c>
    </row>
    <row r="81" spans="1:8" ht="60" customHeight="1">
      <c r="A81" s="95" t="s">
        <v>1341</v>
      </c>
      <c r="B81" s="46" t="s">
        <v>1374</v>
      </c>
      <c r="C81" s="46" t="s">
        <v>1375</v>
      </c>
      <c r="D81" s="46" t="s">
        <v>1376</v>
      </c>
      <c r="E81" s="46" t="s">
        <v>1377</v>
      </c>
      <c r="F81" s="46" t="s">
        <v>1112</v>
      </c>
      <c r="G81" s="46" t="s">
        <v>707</v>
      </c>
      <c r="H81" s="94" t="s">
        <v>1112</v>
      </c>
    </row>
    <row r="82" spans="1:8" ht="60" customHeight="1">
      <c r="A82" s="95" t="s">
        <v>1378</v>
      </c>
      <c r="B82" s="46" t="s">
        <v>1379</v>
      </c>
      <c r="C82" s="46" t="s">
        <v>1380</v>
      </c>
      <c r="D82" s="46" t="s">
        <v>1381</v>
      </c>
      <c r="E82" s="46" t="s">
        <v>1382</v>
      </c>
      <c r="F82" s="46" t="s">
        <v>703</v>
      </c>
      <c r="G82" s="46" t="s">
        <v>1168</v>
      </c>
      <c r="H82" s="94" t="s">
        <v>703</v>
      </c>
    </row>
    <row r="83" spans="1:8" ht="60" customHeight="1">
      <c r="A83" s="95" t="s">
        <v>1378</v>
      </c>
      <c r="B83" s="46" t="s">
        <v>1383</v>
      </c>
      <c r="C83" s="46" t="s">
        <v>1384</v>
      </c>
      <c r="D83" s="46" t="s">
        <v>1385</v>
      </c>
      <c r="E83" s="46" t="s">
        <v>1386</v>
      </c>
      <c r="F83" s="46" t="s">
        <v>703</v>
      </c>
      <c r="G83" s="46" t="s">
        <v>1168</v>
      </c>
      <c r="H83" s="94" t="s">
        <v>1112</v>
      </c>
    </row>
    <row r="84" spans="1:8" ht="60" customHeight="1">
      <c r="A84" s="95" t="s">
        <v>1378</v>
      </c>
      <c r="B84" s="46" t="s">
        <v>1387</v>
      </c>
      <c r="C84" s="46" t="s">
        <v>1388</v>
      </c>
      <c r="D84" s="46" t="s">
        <v>1389</v>
      </c>
      <c r="E84" s="46" t="s">
        <v>1390</v>
      </c>
      <c r="F84" s="46" t="s">
        <v>703</v>
      </c>
      <c r="G84" s="46" t="s">
        <v>1168</v>
      </c>
      <c r="H84" s="94" t="s">
        <v>703</v>
      </c>
    </row>
    <row r="85" spans="1:8" ht="60" customHeight="1">
      <c r="A85" s="95" t="s">
        <v>1378</v>
      </c>
      <c r="B85" s="46" t="s">
        <v>1391</v>
      </c>
      <c r="C85" s="46" t="s">
        <v>1392</v>
      </c>
      <c r="D85" s="46" t="s">
        <v>1393</v>
      </c>
      <c r="E85" s="46" t="s">
        <v>1394</v>
      </c>
      <c r="F85" s="46" t="s">
        <v>1112</v>
      </c>
      <c r="G85" s="46" t="s">
        <v>806</v>
      </c>
      <c r="H85" s="94" t="s">
        <v>1112</v>
      </c>
    </row>
    <row r="86" spans="1:8" ht="60" customHeight="1">
      <c r="A86" s="95" t="s">
        <v>1378</v>
      </c>
      <c r="B86" s="46" t="s">
        <v>1395</v>
      </c>
      <c r="C86" s="46" t="s">
        <v>1396</v>
      </c>
      <c r="D86" s="46" t="s">
        <v>1397</v>
      </c>
      <c r="E86" s="46" t="s">
        <v>1398</v>
      </c>
      <c r="F86" s="46" t="s">
        <v>1112</v>
      </c>
      <c r="G86" s="46" t="s">
        <v>1168</v>
      </c>
      <c r="H86" s="94" t="s">
        <v>1112</v>
      </c>
    </row>
    <row r="87" spans="1:8" ht="60" customHeight="1">
      <c r="A87" s="95" t="s">
        <v>1378</v>
      </c>
      <c r="B87" s="46" t="s">
        <v>1399</v>
      </c>
      <c r="C87" s="46" t="s">
        <v>1400</v>
      </c>
      <c r="D87" s="46" t="s">
        <v>1401</v>
      </c>
      <c r="E87" s="46" t="s">
        <v>1402</v>
      </c>
      <c r="F87" s="46" t="s">
        <v>1112</v>
      </c>
      <c r="G87" s="46" t="s">
        <v>707</v>
      </c>
      <c r="H87" s="94" t="s">
        <v>703</v>
      </c>
    </row>
    <row r="88" spans="1:8" ht="60" customHeight="1">
      <c r="A88" s="95" t="s">
        <v>1378</v>
      </c>
      <c r="B88" s="46" t="s">
        <v>1403</v>
      </c>
      <c r="C88" s="46" t="s">
        <v>1404</v>
      </c>
      <c r="D88" s="46" t="s">
        <v>1405</v>
      </c>
      <c r="E88" s="46" t="s">
        <v>1406</v>
      </c>
      <c r="F88" s="46" t="s">
        <v>1300</v>
      </c>
      <c r="G88" s="46" t="s">
        <v>707</v>
      </c>
      <c r="H88" s="94" t="s">
        <v>1112</v>
      </c>
    </row>
    <row r="89" spans="1:8" ht="60" customHeight="1">
      <c r="A89" s="95" t="s">
        <v>1407</v>
      </c>
      <c r="B89" s="46" t="s">
        <v>794</v>
      </c>
      <c r="C89" s="46" t="s">
        <v>1408</v>
      </c>
      <c r="D89" s="46" t="s">
        <v>1409</v>
      </c>
      <c r="E89" s="46" t="s">
        <v>1410</v>
      </c>
      <c r="F89" s="46" t="s">
        <v>703</v>
      </c>
      <c r="G89" s="46" t="s">
        <v>1411</v>
      </c>
      <c r="H89" s="94" t="s">
        <v>703</v>
      </c>
    </row>
    <row r="90" spans="1:8" ht="60" customHeight="1">
      <c r="A90" s="95" t="s">
        <v>1407</v>
      </c>
      <c r="B90" s="46" t="s">
        <v>1412</v>
      </c>
      <c r="C90" s="46" t="s">
        <v>1413</v>
      </c>
      <c r="D90" s="46" t="s">
        <v>1414</v>
      </c>
      <c r="E90" s="46" t="s">
        <v>1415</v>
      </c>
      <c r="F90" s="46" t="s">
        <v>703</v>
      </c>
      <c r="G90" s="46" t="s">
        <v>1411</v>
      </c>
      <c r="H90" s="94" t="s">
        <v>703</v>
      </c>
    </row>
    <row r="91" spans="1:8" ht="60" customHeight="1">
      <c r="A91" s="95" t="s">
        <v>1407</v>
      </c>
      <c r="B91" s="46" t="s">
        <v>1416</v>
      </c>
      <c r="C91" s="46" t="s">
        <v>1417</v>
      </c>
      <c r="D91" s="46" t="s">
        <v>1418</v>
      </c>
      <c r="E91" s="46" t="s">
        <v>1419</v>
      </c>
      <c r="F91" s="46" t="s">
        <v>703</v>
      </c>
      <c r="G91" s="46" t="s">
        <v>707</v>
      </c>
      <c r="H91" s="94" t="s">
        <v>703</v>
      </c>
    </row>
    <row r="92" spans="1:8" ht="60" customHeight="1">
      <c r="A92" s="95" t="s">
        <v>1407</v>
      </c>
      <c r="B92" s="46" t="s">
        <v>1420</v>
      </c>
      <c r="C92" s="46" t="s">
        <v>1421</v>
      </c>
      <c r="D92" s="46" t="s">
        <v>1422</v>
      </c>
      <c r="E92" s="46" t="s">
        <v>1423</v>
      </c>
      <c r="F92" s="46" t="s">
        <v>703</v>
      </c>
      <c r="G92" s="46" t="s">
        <v>707</v>
      </c>
      <c r="H92" s="94" t="s">
        <v>703</v>
      </c>
    </row>
    <row r="93" spans="1:8" ht="60" customHeight="1">
      <c r="A93" s="95" t="s">
        <v>1407</v>
      </c>
      <c r="B93" s="46" t="s">
        <v>807</v>
      </c>
      <c r="C93" s="46" t="s">
        <v>1424</v>
      </c>
      <c r="D93" s="46" t="s">
        <v>1425</v>
      </c>
      <c r="E93" s="46" t="s">
        <v>1426</v>
      </c>
      <c r="F93" s="46" t="s">
        <v>703</v>
      </c>
      <c r="G93" s="46" t="s">
        <v>707</v>
      </c>
      <c r="H93" s="94" t="s">
        <v>703</v>
      </c>
    </row>
    <row r="94" spans="1:8" ht="60" customHeight="1">
      <c r="A94" s="95" t="s">
        <v>1407</v>
      </c>
      <c r="B94" s="46" t="s">
        <v>1427</v>
      </c>
      <c r="C94" s="46" t="s">
        <v>1428</v>
      </c>
      <c r="D94" s="46" t="s">
        <v>1429</v>
      </c>
      <c r="E94" s="46" t="s">
        <v>1430</v>
      </c>
      <c r="F94" s="46" t="s">
        <v>1112</v>
      </c>
      <c r="G94" s="46" t="s">
        <v>707</v>
      </c>
      <c r="H94" s="94" t="s">
        <v>703</v>
      </c>
    </row>
    <row r="95" spans="1:8" ht="60" customHeight="1">
      <c r="A95" s="95" t="s">
        <v>1407</v>
      </c>
      <c r="B95" s="46" t="s">
        <v>1431</v>
      </c>
      <c r="C95" s="46" t="s">
        <v>1432</v>
      </c>
      <c r="D95" s="46" t="s">
        <v>1433</v>
      </c>
      <c r="E95" s="46" t="s">
        <v>1434</v>
      </c>
      <c r="F95" s="46" t="s">
        <v>703</v>
      </c>
      <c r="G95" s="46" t="s">
        <v>707</v>
      </c>
      <c r="H95" s="94" t="s">
        <v>703</v>
      </c>
    </row>
    <row r="96" spans="1:8" ht="60" customHeight="1">
      <c r="A96" s="95" t="s">
        <v>1407</v>
      </c>
      <c r="B96" s="46" t="s">
        <v>1435</v>
      </c>
      <c r="C96" s="46" t="s">
        <v>1436</v>
      </c>
      <c r="D96" s="46" t="s">
        <v>1437</v>
      </c>
      <c r="E96" s="46" t="s">
        <v>1438</v>
      </c>
      <c r="F96" s="46" t="s">
        <v>1112</v>
      </c>
      <c r="G96" s="46" t="s">
        <v>1168</v>
      </c>
      <c r="H96" s="94" t="s">
        <v>703</v>
      </c>
    </row>
    <row r="97" spans="1:8" ht="60" customHeight="1">
      <c r="A97" s="95" t="s">
        <v>1439</v>
      </c>
      <c r="B97" s="46" t="s">
        <v>803</v>
      </c>
      <c r="C97" s="46" t="s">
        <v>1440</v>
      </c>
      <c r="D97" s="46" t="s">
        <v>1441</v>
      </c>
      <c r="E97" s="46" t="s">
        <v>1442</v>
      </c>
      <c r="F97" s="46" t="s">
        <v>703</v>
      </c>
      <c r="G97" s="46" t="s">
        <v>806</v>
      </c>
      <c r="H97" s="94" t="s">
        <v>703</v>
      </c>
    </row>
    <row r="98" spans="1:8" ht="60" customHeight="1">
      <c r="A98" s="95" t="s">
        <v>1439</v>
      </c>
      <c r="B98" s="46" t="s">
        <v>1443</v>
      </c>
      <c r="C98" s="46" t="s">
        <v>1444</v>
      </c>
      <c r="D98" s="46" t="s">
        <v>1445</v>
      </c>
      <c r="E98" s="46" t="s">
        <v>1446</v>
      </c>
      <c r="F98" s="46" t="s">
        <v>703</v>
      </c>
      <c r="G98" s="46" t="s">
        <v>806</v>
      </c>
      <c r="H98" s="94" t="s">
        <v>703</v>
      </c>
    </row>
    <row r="99" spans="1:8" ht="60" customHeight="1">
      <c r="A99" s="95" t="s">
        <v>1439</v>
      </c>
      <c r="B99" s="46" t="s">
        <v>1447</v>
      </c>
      <c r="C99" s="46" t="s">
        <v>1448</v>
      </c>
      <c r="D99" s="46" t="s">
        <v>1449</v>
      </c>
      <c r="E99" s="46" t="s">
        <v>1450</v>
      </c>
      <c r="F99" s="46" t="s">
        <v>1112</v>
      </c>
      <c r="G99" s="46" t="s">
        <v>806</v>
      </c>
      <c r="H99" s="94" t="s">
        <v>703</v>
      </c>
    </row>
    <row r="100" spans="1:8" ht="60" customHeight="1">
      <c r="A100" s="95" t="s">
        <v>1439</v>
      </c>
      <c r="B100" s="46" t="s">
        <v>1451</v>
      </c>
      <c r="C100" s="46" t="s">
        <v>1452</v>
      </c>
      <c r="D100" s="46" t="s">
        <v>1453</v>
      </c>
      <c r="E100" s="46" t="s">
        <v>1454</v>
      </c>
      <c r="F100" s="46" t="s">
        <v>1112</v>
      </c>
      <c r="G100" s="46" t="s">
        <v>806</v>
      </c>
      <c r="H100" s="94" t="s">
        <v>703</v>
      </c>
    </row>
    <row r="101" spans="1:8" ht="60" customHeight="1">
      <c r="A101" s="95" t="s">
        <v>1439</v>
      </c>
      <c r="B101" s="46" t="s">
        <v>1455</v>
      </c>
      <c r="C101" s="46" t="s">
        <v>1456</v>
      </c>
      <c r="D101" s="46" t="s">
        <v>1457</v>
      </c>
      <c r="E101" s="46" t="s">
        <v>1458</v>
      </c>
      <c r="F101" s="46" t="s">
        <v>1112</v>
      </c>
      <c r="G101" s="46" t="s">
        <v>806</v>
      </c>
      <c r="H101" s="94" t="s">
        <v>703</v>
      </c>
    </row>
    <row r="102" spans="1:8" ht="60" customHeight="1">
      <c r="A102" s="95" t="s">
        <v>1439</v>
      </c>
      <c r="B102" s="46" t="s">
        <v>1459</v>
      </c>
      <c r="C102" s="46" t="s">
        <v>1460</v>
      </c>
      <c r="D102" s="46" t="s">
        <v>1461</v>
      </c>
      <c r="E102" s="46" t="s">
        <v>1462</v>
      </c>
      <c r="F102" s="46" t="s">
        <v>703</v>
      </c>
      <c r="G102" s="46" t="s">
        <v>806</v>
      </c>
      <c r="H102" s="94" t="s">
        <v>703</v>
      </c>
    </row>
    <row r="103" spans="1:8" ht="60" customHeight="1">
      <c r="A103" s="95" t="s">
        <v>1463</v>
      </c>
      <c r="B103" s="46" t="s">
        <v>1464</v>
      </c>
      <c r="C103" s="46" t="s">
        <v>1465</v>
      </c>
      <c r="D103" s="46" t="s">
        <v>1466</v>
      </c>
      <c r="E103" s="46" t="s">
        <v>1467</v>
      </c>
      <c r="F103" s="46" t="s">
        <v>703</v>
      </c>
      <c r="G103" s="46" t="s">
        <v>1085</v>
      </c>
      <c r="H103" s="94" t="s">
        <v>703</v>
      </c>
    </row>
    <row r="104" spans="1:8" ht="60" customHeight="1">
      <c r="A104" s="95" t="s">
        <v>1463</v>
      </c>
      <c r="B104" s="46" t="s">
        <v>1468</v>
      </c>
      <c r="C104" s="46" t="s">
        <v>756</v>
      </c>
      <c r="D104" s="46" t="s">
        <v>1466</v>
      </c>
      <c r="E104" s="46" t="s">
        <v>1469</v>
      </c>
      <c r="F104" s="46" t="s">
        <v>703</v>
      </c>
      <c r="G104" s="46" t="s">
        <v>1085</v>
      </c>
      <c r="H104" s="94" t="s">
        <v>703</v>
      </c>
    </row>
    <row r="105" spans="1:8" ht="60" customHeight="1">
      <c r="A105" s="95" t="s">
        <v>1463</v>
      </c>
      <c r="B105" s="46" t="s">
        <v>1470</v>
      </c>
      <c r="C105" s="46" t="s">
        <v>1471</v>
      </c>
      <c r="D105" s="46" t="s">
        <v>1466</v>
      </c>
      <c r="E105" s="46" t="s">
        <v>1472</v>
      </c>
      <c r="F105" s="46" t="s">
        <v>703</v>
      </c>
      <c r="G105" s="46" t="s">
        <v>1085</v>
      </c>
      <c r="H105" s="94" t="s">
        <v>703</v>
      </c>
    </row>
    <row r="106" spans="1:8" ht="60" customHeight="1">
      <c r="A106" s="95" t="s">
        <v>1463</v>
      </c>
      <c r="B106" s="46" t="s">
        <v>1473</v>
      </c>
      <c r="C106" s="46" t="s">
        <v>1474</v>
      </c>
      <c r="D106" s="46" t="s">
        <v>1475</v>
      </c>
      <c r="E106" s="46" t="s">
        <v>1476</v>
      </c>
      <c r="F106" s="46" t="s">
        <v>1112</v>
      </c>
      <c r="G106" s="46" t="s">
        <v>701</v>
      </c>
      <c r="H106" s="94" t="s">
        <v>1112</v>
      </c>
    </row>
    <row r="107" spans="1:8" ht="60" customHeight="1">
      <c r="A107" s="95" t="s">
        <v>1463</v>
      </c>
      <c r="B107" s="46" t="s">
        <v>1477</v>
      </c>
      <c r="C107" s="46" t="s">
        <v>1478</v>
      </c>
      <c r="D107" s="46" t="s">
        <v>1479</v>
      </c>
      <c r="E107" s="46" t="s">
        <v>1480</v>
      </c>
      <c r="F107" s="46" t="s">
        <v>703</v>
      </c>
      <c r="G107" s="46" t="s">
        <v>785</v>
      </c>
      <c r="H107" s="94" t="s">
        <v>703</v>
      </c>
    </row>
    <row r="108" spans="1:8" ht="60" customHeight="1">
      <c r="A108" s="96" t="s">
        <v>1463</v>
      </c>
      <c r="B108" s="97" t="s">
        <v>1481</v>
      </c>
      <c r="C108" s="97" t="s">
        <v>1482</v>
      </c>
      <c r="D108" s="97" t="s">
        <v>1483</v>
      </c>
      <c r="E108" s="97" t="s">
        <v>1484</v>
      </c>
      <c r="F108" s="97" t="s">
        <v>703</v>
      </c>
      <c r="G108" s="97" t="s">
        <v>707</v>
      </c>
      <c r="H108" s="98" t="s">
        <v>1112</v>
      </c>
    </row>
    <row r="109" spans="1:8">
      <c r="A109" s="131" t="s">
        <v>1485</v>
      </c>
      <c r="B109" s="131"/>
      <c r="C109" s="131"/>
      <c r="D109" s="131"/>
      <c r="E109" s="131"/>
      <c r="F109" s="131"/>
      <c r="G109" s="131"/>
      <c r="H109" s="131"/>
    </row>
    <row r="110" spans="1:8" ht="45">
      <c r="A110" s="7" t="s">
        <v>838</v>
      </c>
      <c r="B110" s="7" t="s">
        <v>1486</v>
      </c>
      <c r="C110" s="7" t="s">
        <v>1487</v>
      </c>
      <c r="D110" s="7" t="s">
        <v>1488</v>
      </c>
      <c r="E110" s="7" t="s">
        <v>1489</v>
      </c>
      <c r="F110" s="7" t="s">
        <v>703</v>
      </c>
      <c r="G110" s="7" t="s">
        <v>1490</v>
      </c>
      <c r="H110" s="7" t="s">
        <v>703</v>
      </c>
    </row>
    <row r="111" spans="1:8" ht="45">
      <c r="A111" s="7" t="s">
        <v>838</v>
      </c>
      <c r="B111" s="7" t="s">
        <v>841</v>
      </c>
      <c r="C111" s="7" t="s">
        <v>1491</v>
      </c>
      <c r="D111" s="7" t="s">
        <v>1492</v>
      </c>
      <c r="E111" s="7" t="s">
        <v>1493</v>
      </c>
      <c r="F111" s="7" t="s">
        <v>703</v>
      </c>
      <c r="G111" s="7" t="s">
        <v>1490</v>
      </c>
      <c r="H111" s="7" t="s">
        <v>703</v>
      </c>
    </row>
    <row r="112" spans="1:8" ht="60">
      <c r="A112" s="7" t="s">
        <v>838</v>
      </c>
      <c r="B112" s="7" t="s">
        <v>1494</v>
      </c>
      <c r="C112" s="7" t="s">
        <v>1495</v>
      </c>
      <c r="D112" s="7" t="s">
        <v>870</v>
      </c>
      <c r="E112" s="7" t="s">
        <v>1496</v>
      </c>
      <c r="F112" s="7" t="s">
        <v>703</v>
      </c>
      <c r="G112" s="7" t="s">
        <v>1497</v>
      </c>
      <c r="H112" s="7" t="s">
        <v>703</v>
      </c>
    </row>
    <row r="113" spans="1:8" ht="30">
      <c r="A113" s="7" t="s">
        <v>838</v>
      </c>
      <c r="B113" s="7" t="s">
        <v>1498</v>
      </c>
      <c r="C113" s="7" t="s">
        <v>1499</v>
      </c>
      <c r="D113" s="7" t="s">
        <v>1500</v>
      </c>
      <c r="E113" s="7" t="s">
        <v>1501</v>
      </c>
      <c r="F113" s="7" t="s">
        <v>703</v>
      </c>
      <c r="G113" s="7" t="s">
        <v>1497</v>
      </c>
      <c r="H113" s="7" t="s">
        <v>703</v>
      </c>
    </row>
    <row r="114" spans="1:8" ht="45">
      <c r="A114" s="7" t="s">
        <v>838</v>
      </c>
      <c r="B114" s="7" t="s">
        <v>1502</v>
      </c>
      <c r="C114" s="7" t="s">
        <v>1503</v>
      </c>
      <c r="D114" s="7" t="s">
        <v>1504</v>
      </c>
      <c r="E114" s="7" t="s">
        <v>1505</v>
      </c>
      <c r="F114" s="7" t="s">
        <v>703</v>
      </c>
      <c r="G114" s="7" t="s">
        <v>1506</v>
      </c>
      <c r="H114" s="7" t="s">
        <v>703</v>
      </c>
    </row>
    <row r="115" spans="1:8" ht="45">
      <c r="A115" s="7" t="s">
        <v>838</v>
      </c>
      <c r="B115" s="7" t="s">
        <v>1507</v>
      </c>
      <c r="C115" s="7" t="s">
        <v>1508</v>
      </c>
      <c r="D115" s="7" t="s">
        <v>1509</v>
      </c>
      <c r="E115" s="7" t="s">
        <v>1510</v>
      </c>
      <c r="F115" s="7" t="s">
        <v>703</v>
      </c>
      <c r="G115" s="7" t="s">
        <v>1511</v>
      </c>
      <c r="H115" s="7" t="s">
        <v>703</v>
      </c>
    </row>
    <row r="116" spans="1:8" ht="45">
      <c r="A116" s="7" t="s">
        <v>838</v>
      </c>
      <c r="B116" s="7" t="s">
        <v>1512</v>
      </c>
      <c r="C116" s="7" t="s">
        <v>1513</v>
      </c>
      <c r="D116" s="7" t="s">
        <v>1514</v>
      </c>
      <c r="E116" s="7" t="s">
        <v>1515</v>
      </c>
      <c r="F116" s="7" t="s">
        <v>703</v>
      </c>
      <c r="G116" s="7" t="s">
        <v>1516</v>
      </c>
      <c r="H116" s="7" t="s">
        <v>703</v>
      </c>
    </row>
    <row r="117" spans="1:8" ht="45">
      <c r="A117" s="7" t="s">
        <v>838</v>
      </c>
      <c r="B117" s="7" t="s">
        <v>1517</v>
      </c>
      <c r="C117" s="7" t="s">
        <v>1518</v>
      </c>
      <c r="D117" s="7" t="s">
        <v>1519</v>
      </c>
      <c r="E117" s="7" t="s">
        <v>1520</v>
      </c>
      <c r="F117" s="7" t="s">
        <v>703</v>
      </c>
      <c r="G117" s="7" t="s">
        <v>1521</v>
      </c>
      <c r="H117" s="7" t="s">
        <v>703</v>
      </c>
    </row>
    <row r="118" spans="1:8" ht="45">
      <c r="A118" s="7" t="s">
        <v>838</v>
      </c>
      <c r="B118" s="7" t="s">
        <v>1522</v>
      </c>
      <c r="C118" s="7" t="s">
        <v>1523</v>
      </c>
      <c r="D118" s="7" t="s">
        <v>1524</v>
      </c>
      <c r="E118" s="7" t="s">
        <v>1525</v>
      </c>
      <c r="F118" s="7" t="s">
        <v>1112</v>
      </c>
      <c r="G118" s="7" t="s">
        <v>1521</v>
      </c>
      <c r="H118" s="7" t="s">
        <v>703</v>
      </c>
    </row>
    <row r="119" spans="1:8" ht="45">
      <c r="A119" s="7" t="s">
        <v>838</v>
      </c>
      <c r="B119" s="7" t="s">
        <v>1526</v>
      </c>
      <c r="C119" s="7" t="s">
        <v>1527</v>
      </c>
      <c r="D119" s="7" t="s">
        <v>1528</v>
      </c>
      <c r="E119" s="7" t="s">
        <v>1529</v>
      </c>
      <c r="F119" s="7" t="s">
        <v>1112</v>
      </c>
      <c r="G119" s="7" t="s">
        <v>1521</v>
      </c>
      <c r="H119" s="7" t="s">
        <v>703</v>
      </c>
    </row>
    <row r="120" spans="1:8" ht="30">
      <c r="A120" s="7" t="s">
        <v>838</v>
      </c>
      <c r="B120" s="7" t="s">
        <v>1530</v>
      </c>
      <c r="C120" s="7" t="s">
        <v>1531</v>
      </c>
      <c r="D120" s="7" t="s">
        <v>1532</v>
      </c>
      <c r="E120" s="7" t="s">
        <v>1533</v>
      </c>
      <c r="F120" s="7" t="s">
        <v>703</v>
      </c>
      <c r="G120" s="7" t="s">
        <v>1534</v>
      </c>
      <c r="H120" s="7" t="s">
        <v>703</v>
      </c>
    </row>
    <row r="121" spans="1:8" ht="45">
      <c r="A121" s="7" t="s">
        <v>838</v>
      </c>
      <c r="B121" s="7" t="s">
        <v>1535</v>
      </c>
      <c r="C121" s="7" t="s">
        <v>1536</v>
      </c>
      <c r="D121" s="7" t="s">
        <v>1537</v>
      </c>
      <c r="E121" s="7" t="s">
        <v>1538</v>
      </c>
      <c r="F121" s="7" t="s">
        <v>703</v>
      </c>
      <c r="G121" s="7" t="s">
        <v>1539</v>
      </c>
      <c r="H121" s="7" t="s">
        <v>703</v>
      </c>
    </row>
    <row r="122" spans="1:8" ht="75">
      <c r="A122" s="7" t="s">
        <v>838</v>
      </c>
      <c r="B122" s="7" t="s">
        <v>1540</v>
      </c>
      <c r="C122" s="7" t="s">
        <v>1541</v>
      </c>
      <c r="D122" s="7" t="s">
        <v>1542</v>
      </c>
      <c r="E122" s="7" t="s">
        <v>1543</v>
      </c>
      <c r="F122" s="7" t="s">
        <v>703</v>
      </c>
      <c r="G122" s="7" t="s">
        <v>1544</v>
      </c>
      <c r="H122" s="7" t="s">
        <v>703</v>
      </c>
    </row>
    <row r="123" spans="1:8" ht="60">
      <c r="A123" s="7" t="s">
        <v>838</v>
      </c>
      <c r="B123" s="7" t="s">
        <v>1545</v>
      </c>
      <c r="C123" s="7" t="s">
        <v>1546</v>
      </c>
      <c r="D123" s="7" t="s">
        <v>1547</v>
      </c>
      <c r="E123" s="7" t="s">
        <v>1548</v>
      </c>
      <c r="F123" s="7" t="s">
        <v>703</v>
      </c>
      <c r="G123" s="7" t="s">
        <v>1549</v>
      </c>
      <c r="H123" s="7" t="s">
        <v>703</v>
      </c>
    </row>
    <row r="124" spans="1:8" ht="75">
      <c r="A124" s="7" t="s">
        <v>838</v>
      </c>
      <c r="B124" s="7" t="s">
        <v>1550</v>
      </c>
      <c r="C124" s="7" t="s">
        <v>1551</v>
      </c>
      <c r="D124" s="7" t="s">
        <v>1552</v>
      </c>
      <c r="E124" s="7" t="s">
        <v>1553</v>
      </c>
      <c r="F124" s="7" t="s">
        <v>703</v>
      </c>
      <c r="G124" s="7" t="s">
        <v>1554</v>
      </c>
      <c r="H124" s="7" t="s">
        <v>703</v>
      </c>
    </row>
    <row r="125" spans="1:8" ht="45">
      <c r="A125" s="7" t="s">
        <v>838</v>
      </c>
      <c r="B125" s="7" t="s">
        <v>1555</v>
      </c>
      <c r="C125" s="7" t="s">
        <v>1556</v>
      </c>
      <c r="D125" s="7" t="s">
        <v>1557</v>
      </c>
      <c r="E125" s="7" t="s">
        <v>1558</v>
      </c>
      <c r="F125" s="7" t="s">
        <v>1112</v>
      </c>
      <c r="G125" s="7" t="s">
        <v>1559</v>
      </c>
      <c r="H125" s="7" t="s">
        <v>703</v>
      </c>
    </row>
    <row r="126" spans="1:8" ht="60">
      <c r="A126" s="7" t="s">
        <v>838</v>
      </c>
      <c r="B126" s="7" t="s">
        <v>1560</v>
      </c>
      <c r="C126" s="7" t="s">
        <v>1561</v>
      </c>
      <c r="D126" s="7" t="s">
        <v>1562</v>
      </c>
      <c r="E126" s="7" t="s">
        <v>1563</v>
      </c>
      <c r="F126" s="7" t="s">
        <v>703</v>
      </c>
      <c r="G126" s="7" t="s">
        <v>1564</v>
      </c>
      <c r="H126" s="7" t="s">
        <v>703</v>
      </c>
    </row>
    <row r="127" spans="1:8" ht="60">
      <c r="A127" s="7" t="s">
        <v>838</v>
      </c>
      <c r="B127" s="7" t="s">
        <v>1565</v>
      </c>
      <c r="C127" s="7" t="s">
        <v>1566</v>
      </c>
      <c r="D127" s="7" t="s">
        <v>1567</v>
      </c>
      <c r="E127" s="7" t="s">
        <v>1568</v>
      </c>
      <c r="F127" s="7" t="s">
        <v>703</v>
      </c>
      <c r="G127" s="7" t="s">
        <v>1569</v>
      </c>
      <c r="H127" s="7" t="s">
        <v>703</v>
      </c>
    </row>
    <row r="128" spans="1:8" ht="45">
      <c r="A128" s="7" t="s">
        <v>838</v>
      </c>
      <c r="B128" s="7" t="s">
        <v>1570</v>
      </c>
      <c r="C128" s="7" t="s">
        <v>1571</v>
      </c>
      <c r="D128" s="7" t="s">
        <v>1572</v>
      </c>
      <c r="E128" s="7" t="s">
        <v>1573</v>
      </c>
      <c r="F128" s="7" t="s">
        <v>703</v>
      </c>
      <c r="G128" s="7" t="s">
        <v>1569</v>
      </c>
      <c r="H128" s="7" t="s">
        <v>703</v>
      </c>
    </row>
    <row r="129" spans="1:8" ht="75">
      <c r="A129" s="7" t="s">
        <v>838</v>
      </c>
      <c r="B129" s="7" t="s">
        <v>1574</v>
      </c>
      <c r="C129" s="7" t="s">
        <v>1575</v>
      </c>
      <c r="D129" s="7" t="s">
        <v>1576</v>
      </c>
      <c r="E129" s="7" t="s">
        <v>1577</v>
      </c>
      <c r="F129" s="7" t="s">
        <v>1112</v>
      </c>
      <c r="G129" s="7" t="s">
        <v>1578</v>
      </c>
      <c r="H129" s="7" t="s">
        <v>703</v>
      </c>
    </row>
    <row r="130" spans="1:8" ht="45">
      <c r="A130" s="7" t="s">
        <v>838</v>
      </c>
      <c r="B130" s="7" t="s">
        <v>866</v>
      </c>
      <c r="C130" s="7" t="s">
        <v>1579</v>
      </c>
      <c r="D130" s="7" t="s">
        <v>1580</v>
      </c>
      <c r="E130" s="7" t="s">
        <v>1581</v>
      </c>
      <c r="F130" s="7" t="s">
        <v>703</v>
      </c>
      <c r="G130" s="7" t="s">
        <v>1582</v>
      </c>
      <c r="H130" s="7" t="s">
        <v>703</v>
      </c>
    </row>
    <row r="131" spans="1:8" ht="60">
      <c r="A131" s="7" t="s">
        <v>838</v>
      </c>
      <c r="B131" s="7" t="s">
        <v>1583</v>
      </c>
      <c r="C131" s="7" t="s">
        <v>1584</v>
      </c>
      <c r="D131" s="7" t="s">
        <v>1585</v>
      </c>
      <c r="E131" s="7" t="s">
        <v>1586</v>
      </c>
      <c r="F131" s="7" t="s">
        <v>1112</v>
      </c>
      <c r="G131" s="7" t="s">
        <v>1582</v>
      </c>
      <c r="H131" s="7" t="s">
        <v>703</v>
      </c>
    </row>
    <row r="132" spans="1:8" ht="60">
      <c r="A132" s="7" t="s">
        <v>838</v>
      </c>
      <c r="B132" s="7" t="s">
        <v>1587</v>
      </c>
      <c r="C132" s="7" t="s">
        <v>1588</v>
      </c>
      <c r="D132" s="7" t="s">
        <v>1589</v>
      </c>
      <c r="E132" s="7" t="s">
        <v>1590</v>
      </c>
      <c r="F132" s="7" t="s">
        <v>1112</v>
      </c>
      <c r="G132" s="7" t="s">
        <v>1591</v>
      </c>
      <c r="H132" s="7" t="s">
        <v>703</v>
      </c>
    </row>
    <row r="133" spans="1:8" ht="60">
      <c r="A133" s="7" t="s">
        <v>838</v>
      </c>
      <c r="B133" s="7" t="s">
        <v>1592</v>
      </c>
      <c r="C133" s="7" t="s">
        <v>1593</v>
      </c>
      <c r="D133" s="7" t="s">
        <v>1594</v>
      </c>
      <c r="E133" s="7" t="s">
        <v>1595</v>
      </c>
      <c r="F133" s="7" t="s">
        <v>703</v>
      </c>
      <c r="G133" s="7" t="s">
        <v>1596</v>
      </c>
      <c r="H133" s="7" t="s">
        <v>703</v>
      </c>
    </row>
    <row r="134" spans="1:8" ht="75">
      <c r="A134" s="7" t="s">
        <v>838</v>
      </c>
      <c r="B134" s="7" t="s">
        <v>1597</v>
      </c>
      <c r="C134" s="7" t="s">
        <v>1598</v>
      </c>
      <c r="D134" s="7" t="s">
        <v>1599</v>
      </c>
      <c r="E134" s="7" t="s">
        <v>1600</v>
      </c>
      <c r="F134" s="7" t="s">
        <v>703</v>
      </c>
      <c r="G134" s="7" t="s">
        <v>1596</v>
      </c>
      <c r="H134" s="7" t="s">
        <v>703</v>
      </c>
    </row>
    <row r="135" spans="1:8" ht="45">
      <c r="A135" s="7" t="s">
        <v>838</v>
      </c>
      <c r="B135" s="7" t="s">
        <v>860</v>
      </c>
      <c r="C135" s="7" t="s">
        <v>1601</v>
      </c>
      <c r="D135" s="7" t="s">
        <v>1602</v>
      </c>
      <c r="E135" s="7" t="s">
        <v>1603</v>
      </c>
      <c r="F135" s="7" t="s">
        <v>1112</v>
      </c>
      <c r="G135" s="7" t="s">
        <v>1596</v>
      </c>
      <c r="H135" s="7" t="s">
        <v>703</v>
      </c>
    </row>
    <row r="136" spans="1:8" ht="45">
      <c r="A136" s="7" t="s">
        <v>838</v>
      </c>
      <c r="B136" s="7" t="s">
        <v>1604</v>
      </c>
      <c r="C136" s="7" t="s">
        <v>1605</v>
      </c>
      <c r="D136" s="7" t="s">
        <v>1606</v>
      </c>
      <c r="E136" s="7" t="s">
        <v>1607</v>
      </c>
      <c r="F136" s="7" t="s">
        <v>703</v>
      </c>
      <c r="G136" s="7" t="s">
        <v>1608</v>
      </c>
      <c r="H136" s="7" t="s">
        <v>703</v>
      </c>
    </row>
    <row r="137" spans="1:8" ht="45">
      <c r="A137" s="7" t="s">
        <v>838</v>
      </c>
      <c r="B137" s="7" t="s">
        <v>1609</v>
      </c>
      <c r="C137" s="7" t="s">
        <v>1610</v>
      </c>
      <c r="D137" s="7" t="s">
        <v>1611</v>
      </c>
      <c r="E137" s="7" t="s">
        <v>1612</v>
      </c>
      <c r="F137" s="7" t="s">
        <v>1112</v>
      </c>
      <c r="G137" s="7" t="s">
        <v>1608</v>
      </c>
      <c r="H137" s="7" t="s">
        <v>703</v>
      </c>
    </row>
    <row r="138" spans="1:8" ht="30">
      <c r="A138" s="7" t="s">
        <v>838</v>
      </c>
      <c r="B138" s="7" t="s">
        <v>1613</v>
      </c>
      <c r="C138" s="7" t="s">
        <v>1614</v>
      </c>
      <c r="D138" s="7" t="s">
        <v>1615</v>
      </c>
      <c r="E138" s="7" t="s">
        <v>1616</v>
      </c>
      <c r="F138" s="7" t="s">
        <v>1112</v>
      </c>
      <c r="G138" s="7" t="s">
        <v>1608</v>
      </c>
      <c r="H138" s="7" t="s">
        <v>703</v>
      </c>
    </row>
    <row r="139" spans="1:8" ht="45">
      <c r="A139" s="7" t="s">
        <v>838</v>
      </c>
      <c r="B139" s="7" t="s">
        <v>842</v>
      </c>
      <c r="C139" s="7" t="s">
        <v>1617</v>
      </c>
      <c r="D139" s="7" t="s">
        <v>1618</v>
      </c>
      <c r="E139" s="7" t="s">
        <v>1619</v>
      </c>
      <c r="F139" s="7" t="s">
        <v>703</v>
      </c>
      <c r="G139" s="7" t="s">
        <v>1620</v>
      </c>
      <c r="H139" s="7" t="s">
        <v>703</v>
      </c>
    </row>
    <row r="140" spans="1:8" ht="75">
      <c r="A140" s="7" t="s">
        <v>892</v>
      </c>
      <c r="B140" s="7" t="s">
        <v>1621</v>
      </c>
      <c r="C140" s="7" t="s">
        <v>1622</v>
      </c>
      <c r="D140" s="7" t="s">
        <v>1623</v>
      </c>
      <c r="E140" s="7" t="s">
        <v>1624</v>
      </c>
      <c r="F140" s="7" t="s">
        <v>703</v>
      </c>
      <c r="G140" s="7" t="s">
        <v>1620</v>
      </c>
      <c r="H140" s="7" t="s">
        <v>703</v>
      </c>
    </row>
    <row r="141" spans="1:8" ht="60">
      <c r="A141" s="7" t="s">
        <v>892</v>
      </c>
      <c r="B141" s="7" t="s">
        <v>1625</v>
      </c>
      <c r="C141" s="7" t="s">
        <v>1626</v>
      </c>
      <c r="D141" s="7" t="s">
        <v>1627</v>
      </c>
      <c r="E141" s="7" t="s">
        <v>1628</v>
      </c>
      <c r="F141" s="7" t="s">
        <v>703</v>
      </c>
      <c r="G141" s="7" t="s">
        <v>1629</v>
      </c>
      <c r="H141" s="7" t="s">
        <v>703</v>
      </c>
    </row>
    <row r="142" spans="1:8" ht="60">
      <c r="A142" s="7" t="s">
        <v>892</v>
      </c>
      <c r="B142" s="7" t="s">
        <v>1630</v>
      </c>
      <c r="C142" s="7" t="s">
        <v>1631</v>
      </c>
      <c r="D142" s="7" t="s">
        <v>1632</v>
      </c>
      <c r="E142" s="7" t="s">
        <v>1633</v>
      </c>
      <c r="F142" s="7" t="s">
        <v>703</v>
      </c>
      <c r="G142" s="7" t="s">
        <v>1634</v>
      </c>
      <c r="H142" s="7" t="s">
        <v>703</v>
      </c>
    </row>
    <row r="143" spans="1:8" ht="45">
      <c r="A143" s="7" t="s">
        <v>892</v>
      </c>
      <c r="B143" s="7" t="s">
        <v>1635</v>
      </c>
      <c r="C143" s="7" t="s">
        <v>1636</v>
      </c>
      <c r="D143" s="7" t="s">
        <v>1637</v>
      </c>
      <c r="E143" s="7" t="s">
        <v>1638</v>
      </c>
      <c r="F143" s="7" t="s">
        <v>1112</v>
      </c>
      <c r="G143" s="7" t="s">
        <v>1639</v>
      </c>
      <c r="H143" s="7" t="s">
        <v>703</v>
      </c>
    </row>
    <row r="144" spans="1:8" ht="30">
      <c r="A144" s="7" t="s">
        <v>741</v>
      </c>
      <c r="B144" s="7" t="s">
        <v>1081</v>
      </c>
      <c r="C144" s="7" t="s">
        <v>1640</v>
      </c>
      <c r="D144" s="7" t="s">
        <v>1641</v>
      </c>
      <c r="E144" s="7" t="s">
        <v>1642</v>
      </c>
      <c r="F144" s="7" t="s">
        <v>703</v>
      </c>
      <c r="G144" s="7" t="s">
        <v>1643</v>
      </c>
      <c r="H144" s="7" t="s">
        <v>703</v>
      </c>
    </row>
    <row r="145" spans="1:8" ht="45">
      <c r="A145" s="7" t="s">
        <v>741</v>
      </c>
      <c r="B145" s="7" t="s">
        <v>1086</v>
      </c>
      <c r="C145" s="7" t="s">
        <v>1644</v>
      </c>
      <c r="D145" s="7" t="s">
        <v>1089</v>
      </c>
      <c r="E145" s="7" t="s">
        <v>1645</v>
      </c>
      <c r="F145" s="7" t="s">
        <v>703</v>
      </c>
      <c r="G145" s="7" t="s">
        <v>1646</v>
      </c>
      <c r="H145" s="7" t="s">
        <v>703</v>
      </c>
    </row>
    <row r="146" spans="1:8" ht="30">
      <c r="A146" s="7" t="s">
        <v>741</v>
      </c>
      <c r="B146" s="7" t="s">
        <v>742</v>
      </c>
      <c r="C146" s="7" t="s">
        <v>1647</v>
      </c>
      <c r="D146" s="7" t="s">
        <v>1648</v>
      </c>
      <c r="E146" s="7" t="s">
        <v>1649</v>
      </c>
      <c r="F146" s="7" t="s">
        <v>703</v>
      </c>
      <c r="G146" s="7" t="s">
        <v>1650</v>
      </c>
      <c r="H146" s="7" t="s">
        <v>703</v>
      </c>
    </row>
    <row r="147" spans="1:8" ht="45">
      <c r="A147" s="7" t="s">
        <v>741</v>
      </c>
      <c r="B147" s="7" t="s">
        <v>1651</v>
      </c>
      <c r="C147" s="7" t="s">
        <v>1652</v>
      </c>
      <c r="D147" s="7" t="s">
        <v>1653</v>
      </c>
      <c r="E147" s="7" t="s">
        <v>1654</v>
      </c>
      <c r="F147" s="7" t="s">
        <v>703</v>
      </c>
      <c r="G147" s="7" t="s">
        <v>1655</v>
      </c>
      <c r="H147" s="7" t="s">
        <v>703</v>
      </c>
    </row>
    <row r="148" spans="1:8" ht="45">
      <c r="A148" s="7" t="s">
        <v>741</v>
      </c>
      <c r="B148" s="7" t="s">
        <v>1656</v>
      </c>
      <c r="C148" s="7" t="s">
        <v>1657</v>
      </c>
      <c r="D148" s="7" t="s">
        <v>1658</v>
      </c>
      <c r="E148" s="7" t="s">
        <v>1134</v>
      </c>
      <c r="F148" s="7" t="s">
        <v>703</v>
      </c>
      <c r="G148" s="7" t="s">
        <v>1659</v>
      </c>
      <c r="H148" s="7" t="s">
        <v>703</v>
      </c>
    </row>
    <row r="149" spans="1:8" ht="30">
      <c r="A149" s="7" t="s">
        <v>741</v>
      </c>
      <c r="B149" s="7" t="s">
        <v>1135</v>
      </c>
      <c r="C149" s="7" t="s">
        <v>1660</v>
      </c>
      <c r="D149" s="7" t="s">
        <v>1661</v>
      </c>
      <c r="E149" s="7" t="s">
        <v>1662</v>
      </c>
      <c r="F149" s="7" t="s">
        <v>703</v>
      </c>
      <c r="G149" s="7" t="s">
        <v>1663</v>
      </c>
      <c r="H149" s="7" t="s">
        <v>703</v>
      </c>
    </row>
    <row r="150" spans="1:8" ht="30">
      <c r="A150" s="7" t="s">
        <v>741</v>
      </c>
      <c r="B150" s="7" t="s">
        <v>1139</v>
      </c>
      <c r="C150" s="7" t="s">
        <v>1664</v>
      </c>
      <c r="D150" s="7" t="s">
        <v>1665</v>
      </c>
      <c r="E150" s="7" t="s">
        <v>1142</v>
      </c>
      <c r="F150" s="7" t="s">
        <v>703</v>
      </c>
      <c r="G150" s="7" t="s">
        <v>1659</v>
      </c>
      <c r="H150" s="7" t="s">
        <v>703</v>
      </c>
    </row>
    <row r="151" spans="1:8" ht="30">
      <c r="A151" s="7" t="s">
        <v>741</v>
      </c>
      <c r="B151" s="7" t="s">
        <v>920</v>
      </c>
      <c r="C151" s="7" t="s">
        <v>1666</v>
      </c>
      <c r="D151" s="7" t="s">
        <v>1667</v>
      </c>
      <c r="E151" s="7" t="s">
        <v>1668</v>
      </c>
      <c r="F151" s="7" t="s">
        <v>703</v>
      </c>
      <c r="G151" s="7" t="s">
        <v>1669</v>
      </c>
      <c r="H151" s="7" t="s">
        <v>703</v>
      </c>
    </row>
    <row r="152" spans="1:8" ht="45">
      <c r="A152" s="7" t="s">
        <v>741</v>
      </c>
      <c r="B152" s="7" t="s">
        <v>922</v>
      </c>
      <c r="C152" s="7" t="s">
        <v>1670</v>
      </c>
      <c r="D152" s="7" t="s">
        <v>1671</v>
      </c>
      <c r="E152" s="7" t="s">
        <v>1672</v>
      </c>
      <c r="F152" s="7" t="s">
        <v>703</v>
      </c>
      <c r="G152" s="7" t="s">
        <v>1673</v>
      </c>
      <c r="H152" s="7" t="s">
        <v>703</v>
      </c>
    </row>
    <row r="153" spans="1:8" ht="30">
      <c r="A153" s="7" t="s">
        <v>741</v>
      </c>
      <c r="B153" s="7" t="s">
        <v>921</v>
      </c>
      <c r="C153" s="7" t="s">
        <v>1674</v>
      </c>
      <c r="D153" s="7" t="s">
        <v>1675</v>
      </c>
      <c r="E153" s="7" t="s">
        <v>1676</v>
      </c>
      <c r="F153" s="7" t="s">
        <v>703</v>
      </c>
      <c r="G153" s="7" t="s">
        <v>1659</v>
      </c>
      <c r="H153" s="7" t="s">
        <v>703</v>
      </c>
    </row>
    <row r="154" spans="1:8" ht="30">
      <c r="A154" s="7" t="s">
        <v>741</v>
      </c>
      <c r="B154" s="7" t="s">
        <v>923</v>
      </c>
      <c r="C154" s="7" t="s">
        <v>1677</v>
      </c>
      <c r="D154" s="7" t="s">
        <v>1678</v>
      </c>
      <c r="E154" s="7" t="s">
        <v>1679</v>
      </c>
      <c r="F154" s="7" t="s">
        <v>703</v>
      </c>
      <c r="G154" s="7" t="s">
        <v>1659</v>
      </c>
      <c r="H154" s="7" t="s">
        <v>703</v>
      </c>
    </row>
    <row r="155" spans="1:8" ht="30">
      <c r="A155" s="7" t="s">
        <v>741</v>
      </c>
      <c r="B155" s="7" t="s">
        <v>758</v>
      </c>
      <c r="C155" s="7" t="s">
        <v>1680</v>
      </c>
      <c r="D155" s="7" t="s">
        <v>1681</v>
      </c>
      <c r="E155" s="7" t="s">
        <v>1682</v>
      </c>
      <c r="F155" s="7" t="s">
        <v>1112</v>
      </c>
      <c r="G155" s="7" t="s">
        <v>1683</v>
      </c>
      <c r="H155" s="7" t="s">
        <v>703</v>
      </c>
    </row>
    <row r="156" spans="1:8" ht="45">
      <c r="A156" s="7" t="s">
        <v>741</v>
      </c>
      <c r="B156" s="7" t="s">
        <v>1684</v>
      </c>
      <c r="C156" s="7" t="s">
        <v>1685</v>
      </c>
      <c r="D156" s="7" t="s">
        <v>1686</v>
      </c>
      <c r="E156" s="7" t="s">
        <v>1687</v>
      </c>
      <c r="F156" s="7" t="s">
        <v>703</v>
      </c>
      <c r="G156" s="7" t="s">
        <v>1688</v>
      </c>
      <c r="H156" s="7" t="s">
        <v>703</v>
      </c>
    </row>
    <row r="157" spans="1:8" ht="45">
      <c r="A157" s="7" t="s">
        <v>741</v>
      </c>
      <c r="B157" s="7" t="s">
        <v>754</v>
      </c>
      <c r="C157" s="7" t="s">
        <v>1689</v>
      </c>
      <c r="D157" s="7" t="s">
        <v>1690</v>
      </c>
      <c r="E157" s="7" t="s">
        <v>1108</v>
      </c>
      <c r="F157" s="7" t="s">
        <v>703</v>
      </c>
      <c r="G157" s="7" t="s">
        <v>1691</v>
      </c>
      <c r="H157" s="7" t="s">
        <v>703</v>
      </c>
    </row>
    <row r="158" spans="1:8" ht="45">
      <c r="A158" s="7" t="s">
        <v>741</v>
      </c>
      <c r="B158" s="7" t="s">
        <v>1692</v>
      </c>
      <c r="C158" s="7" t="s">
        <v>1693</v>
      </c>
      <c r="D158" s="7" t="s">
        <v>1694</v>
      </c>
      <c r="E158" s="7" t="s">
        <v>1695</v>
      </c>
      <c r="F158" s="7" t="s">
        <v>703</v>
      </c>
      <c r="G158" s="7" t="s">
        <v>1696</v>
      </c>
      <c r="H158" s="7" t="s">
        <v>703</v>
      </c>
    </row>
    <row r="159" spans="1:8" ht="30">
      <c r="A159" s="7" t="s">
        <v>741</v>
      </c>
      <c r="B159" s="7" t="s">
        <v>935</v>
      </c>
      <c r="C159" s="7" t="s">
        <v>1697</v>
      </c>
      <c r="D159" s="7" t="s">
        <v>1698</v>
      </c>
      <c r="E159" s="7" t="s">
        <v>1699</v>
      </c>
      <c r="F159" s="7" t="s">
        <v>703</v>
      </c>
      <c r="G159" s="7" t="s">
        <v>1700</v>
      </c>
      <c r="H159" s="7" t="s">
        <v>703</v>
      </c>
    </row>
    <row r="160" spans="1:8" ht="45">
      <c r="A160" s="7" t="s">
        <v>741</v>
      </c>
      <c r="B160" s="7" t="s">
        <v>1701</v>
      </c>
      <c r="C160" s="7" t="s">
        <v>1702</v>
      </c>
      <c r="D160" s="7" t="s">
        <v>1703</v>
      </c>
      <c r="E160" s="7" t="s">
        <v>1704</v>
      </c>
      <c r="F160" s="7" t="s">
        <v>1112</v>
      </c>
      <c r="G160" s="7" t="s">
        <v>1705</v>
      </c>
      <c r="H160" s="7" t="s">
        <v>703</v>
      </c>
    </row>
    <row r="161" spans="1:8" ht="30">
      <c r="A161" s="7" t="s">
        <v>741</v>
      </c>
      <c r="B161" s="7" t="s">
        <v>1124</v>
      </c>
      <c r="C161" s="7" t="s">
        <v>1706</v>
      </c>
      <c r="D161" s="7" t="s">
        <v>1707</v>
      </c>
      <c r="E161" s="7" t="s">
        <v>1708</v>
      </c>
      <c r="F161" s="7" t="s">
        <v>1112</v>
      </c>
      <c r="G161" s="7" t="s">
        <v>1705</v>
      </c>
      <c r="H161" s="7" t="s">
        <v>703</v>
      </c>
    </row>
    <row r="162" spans="1:8" ht="45">
      <c r="A162" s="7" t="s">
        <v>741</v>
      </c>
      <c r="B162" s="7" t="s">
        <v>942</v>
      </c>
      <c r="C162" s="7" t="s">
        <v>1709</v>
      </c>
      <c r="D162" s="7" t="s">
        <v>1710</v>
      </c>
      <c r="E162" s="7" t="s">
        <v>1711</v>
      </c>
      <c r="F162" s="7" t="s">
        <v>703</v>
      </c>
      <c r="G162" s="7" t="s">
        <v>1712</v>
      </c>
      <c r="H162" s="7" t="s">
        <v>703</v>
      </c>
    </row>
    <row r="163" spans="1:8" ht="45">
      <c r="A163" s="7" t="s">
        <v>741</v>
      </c>
      <c r="B163" s="7" t="s">
        <v>1713</v>
      </c>
      <c r="C163" s="7" t="s">
        <v>1714</v>
      </c>
      <c r="D163" s="7" t="s">
        <v>1715</v>
      </c>
      <c r="E163" s="7" t="s">
        <v>1716</v>
      </c>
      <c r="F163" s="7" t="s">
        <v>1112</v>
      </c>
      <c r="G163" s="7" t="s">
        <v>1717</v>
      </c>
      <c r="H163" s="7" t="s">
        <v>703</v>
      </c>
    </row>
    <row r="164" spans="1:8" ht="45">
      <c r="A164" s="7" t="s">
        <v>741</v>
      </c>
      <c r="B164" s="7" t="s">
        <v>1718</v>
      </c>
      <c r="C164" s="7" t="s">
        <v>1719</v>
      </c>
      <c r="D164" s="7" t="s">
        <v>1720</v>
      </c>
      <c r="E164" s="7" t="s">
        <v>1721</v>
      </c>
      <c r="F164" s="7" t="s">
        <v>1112</v>
      </c>
      <c r="G164" s="7" t="s">
        <v>1722</v>
      </c>
      <c r="H164" s="7" t="s">
        <v>703</v>
      </c>
    </row>
    <row r="165" spans="1:8" ht="30">
      <c r="A165" s="7" t="s">
        <v>741</v>
      </c>
      <c r="B165" s="7" t="s">
        <v>1723</v>
      </c>
      <c r="C165" s="7" t="s">
        <v>1724</v>
      </c>
      <c r="D165" s="7" t="s">
        <v>1725</v>
      </c>
      <c r="E165" s="7" t="s">
        <v>1726</v>
      </c>
      <c r="F165" s="7" t="s">
        <v>1112</v>
      </c>
      <c r="G165" s="7" t="s">
        <v>1727</v>
      </c>
      <c r="H165" s="7" t="s">
        <v>703</v>
      </c>
    </row>
    <row r="166" spans="1:8" ht="45">
      <c r="A166" s="7" t="s">
        <v>741</v>
      </c>
      <c r="B166" s="7" t="s">
        <v>1728</v>
      </c>
      <c r="C166" s="7" t="s">
        <v>1729</v>
      </c>
      <c r="D166" s="7" t="s">
        <v>1730</v>
      </c>
      <c r="E166" s="7" t="s">
        <v>1731</v>
      </c>
      <c r="F166" s="7" t="s">
        <v>703</v>
      </c>
      <c r="G166" s="7" t="s">
        <v>1732</v>
      </c>
      <c r="H166" s="7" t="s">
        <v>703</v>
      </c>
    </row>
    <row r="167" spans="1:8" ht="30">
      <c r="A167" s="7" t="s">
        <v>741</v>
      </c>
      <c r="B167" s="7" t="s">
        <v>1733</v>
      </c>
      <c r="C167" s="7" t="s">
        <v>1734</v>
      </c>
      <c r="D167" s="7" t="s">
        <v>1735</v>
      </c>
      <c r="E167" s="7" t="s">
        <v>1736</v>
      </c>
      <c r="F167" s="7" t="s">
        <v>1112</v>
      </c>
      <c r="G167" s="7" t="s">
        <v>1737</v>
      </c>
      <c r="H167" s="7" t="s">
        <v>703</v>
      </c>
    </row>
    <row r="168" spans="1:8" ht="30">
      <c r="A168" s="7" t="s">
        <v>741</v>
      </c>
      <c r="B168" s="7" t="s">
        <v>1738</v>
      </c>
      <c r="C168" s="7" t="s">
        <v>1739</v>
      </c>
      <c r="D168" s="7" t="s">
        <v>1740</v>
      </c>
      <c r="E168" s="7" t="s">
        <v>1741</v>
      </c>
      <c r="F168" s="7" t="s">
        <v>1112</v>
      </c>
      <c r="G168" s="7" t="s">
        <v>1742</v>
      </c>
      <c r="H168" s="7" t="s">
        <v>703</v>
      </c>
    </row>
    <row r="169" spans="1:8" ht="30">
      <c r="A169" s="7" t="s">
        <v>741</v>
      </c>
      <c r="B169" s="7" t="s">
        <v>947</v>
      </c>
      <c r="C169" s="7" t="s">
        <v>1743</v>
      </c>
      <c r="D169" s="7" t="s">
        <v>1744</v>
      </c>
      <c r="E169" s="7" t="s">
        <v>1745</v>
      </c>
      <c r="F169" s="7" t="s">
        <v>703</v>
      </c>
      <c r="G169" s="7" t="s">
        <v>1746</v>
      </c>
      <c r="H169" s="7" t="s">
        <v>703</v>
      </c>
    </row>
    <row r="170" spans="1:8" ht="45">
      <c r="A170" s="7" t="s">
        <v>741</v>
      </c>
      <c r="B170" s="7" t="s">
        <v>948</v>
      </c>
      <c r="C170" s="7" t="s">
        <v>1747</v>
      </c>
      <c r="D170" s="7" t="s">
        <v>1748</v>
      </c>
      <c r="E170" s="7" t="s">
        <v>1749</v>
      </c>
      <c r="F170" s="7" t="s">
        <v>703</v>
      </c>
      <c r="G170" s="7" t="s">
        <v>1750</v>
      </c>
      <c r="H170" s="7" t="s">
        <v>703</v>
      </c>
    </row>
    <row r="171" spans="1:8" ht="45">
      <c r="A171" s="7" t="s">
        <v>741</v>
      </c>
      <c r="B171" s="7" t="s">
        <v>763</v>
      </c>
      <c r="C171" s="7" t="s">
        <v>1751</v>
      </c>
      <c r="D171" s="7" t="s">
        <v>1752</v>
      </c>
      <c r="E171" s="7" t="s">
        <v>1753</v>
      </c>
      <c r="F171" s="7" t="s">
        <v>703</v>
      </c>
      <c r="G171" s="7" t="s">
        <v>1754</v>
      </c>
      <c r="H171" s="7" t="s">
        <v>703</v>
      </c>
    </row>
    <row r="172" spans="1:8" ht="60">
      <c r="A172" s="7" t="s">
        <v>741</v>
      </c>
      <c r="B172" s="7" t="s">
        <v>1755</v>
      </c>
      <c r="C172" s="7" t="s">
        <v>1756</v>
      </c>
      <c r="D172" s="7" t="s">
        <v>1757</v>
      </c>
      <c r="E172" s="7" t="s">
        <v>1758</v>
      </c>
      <c r="F172" s="7" t="s">
        <v>703</v>
      </c>
      <c r="G172" s="7" t="s">
        <v>1759</v>
      </c>
      <c r="H172" s="7" t="s">
        <v>703</v>
      </c>
    </row>
    <row r="173" spans="1:8" ht="45">
      <c r="A173" s="7" t="s">
        <v>741</v>
      </c>
      <c r="B173" s="7" t="s">
        <v>941</v>
      </c>
      <c r="C173" s="7" t="s">
        <v>1760</v>
      </c>
      <c r="D173" s="7" t="s">
        <v>1761</v>
      </c>
      <c r="E173" s="7" t="s">
        <v>1762</v>
      </c>
      <c r="F173" s="7" t="s">
        <v>703</v>
      </c>
      <c r="G173" s="7" t="s">
        <v>1759</v>
      </c>
      <c r="H173" s="7" t="s">
        <v>703</v>
      </c>
    </row>
    <row r="174" spans="1:8" ht="45">
      <c r="A174" s="7" t="s">
        <v>741</v>
      </c>
      <c r="B174" s="7" t="s">
        <v>1763</v>
      </c>
      <c r="C174" s="7" t="s">
        <v>1764</v>
      </c>
      <c r="D174" s="7" t="s">
        <v>1765</v>
      </c>
      <c r="E174" s="7" t="s">
        <v>1766</v>
      </c>
      <c r="F174" s="7" t="s">
        <v>703</v>
      </c>
      <c r="G174" s="7" t="s">
        <v>1767</v>
      </c>
      <c r="H174" s="7" t="s">
        <v>703</v>
      </c>
    </row>
    <row r="175" spans="1:8" ht="45">
      <c r="A175" s="7" t="s">
        <v>741</v>
      </c>
      <c r="B175" s="7" t="s">
        <v>1768</v>
      </c>
      <c r="C175" s="7" t="s">
        <v>1769</v>
      </c>
      <c r="D175" s="7" t="s">
        <v>1770</v>
      </c>
      <c r="E175" s="7" t="s">
        <v>1771</v>
      </c>
      <c r="F175" s="7" t="s">
        <v>703</v>
      </c>
      <c r="G175" s="7" t="s">
        <v>1772</v>
      </c>
      <c r="H175" s="7" t="s">
        <v>703</v>
      </c>
    </row>
    <row r="176" spans="1:8" ht="75">
      <c r="A176" s="7" t="s">
        <v>741</v>
      </c>
      <c r="B176" s="7" t="s">
        <v>1773</v>
      </c>
      <c r="C176" s="7" t="s">
        <v>1774</v>
      </c>
      <c r="D176" s="7" t="s">
        <v>1775</v>
      </c>
      <c r="E176" s="7" t="s">
        <v>1776</v>
      </c>
      <c r="F176" s="7" t="s">
        <v>703</v>
      </c>
      <c r="G176" s="7" t="s">
        <v>1777</v>
      </c>
      <c r="H176" s="7" t="s">
        <v>703</v>
      </c>
    </row>
    <row r="177" spans="1:8" ht="45">
      <c r="A177" s="7" t="s">
        <v>741</v>
      </c>
      <c r="B177" s="7" t="s">
        <v>1778</v>
      </c>
      <c r="C177" s="7" t="s">
        <v>1779</v>
      </c>
      <c r="D177" s="7" t="s">
        <v>1780</v>
      </c>
      <c r="E177" s="7" t="s">
        <v>1781</v>
      </c>
      <c r="F177" s="7" t="s">
        <v>703</v>
      </c>
      <c r="G177" s="7" t="s">
        <v>1782</v>
      </c>
      <c r="H177" s="7" t="s">
        <v>703</v>
      </c>
    </row>
    <row r="178" spans="1:8" ht="75">
      <c r="A178" s="7" t="s">
        <v>741</v>
      </c>
      <c r="B178" s="7" t="s">
        <v>1783</v>
      </c>
      <c r="C178" s="7" t="s">
        <v>1784</v>
      </c>
      <c r="D178" s="7" t="s">
        <v>1785</v>
      </c>
      <c r="E178" s="7" t="s">
        <v>1786</v>
      </c>
      <c r="F178" s="7" t="s">
        <v>703</v>
      </c>
      <c r="G178" s="7" t="s">
        <v>1787</v>
      </c>
      <c r="H178" s="7" t="s">
        <v>703</v>
      </c>
    </row>
    <row r="179" spans="1:8" ht="60">
      <c r="A179" s="7" t="s">
        <v>741</v>
      </c>
      <c r="B179" s="7" t="s">
        <v>1788</v>
      </c>
      <c r="C179" s="7" t="s">
        <v>1789</v>
      </c>
      <c r="D179" s="7" t="s">
        <v>1790</v>
      </c>
      <c r="E179" s="7" t="s">
        <v>1791</v>
      </c>
      <c r="F179" s="7" t="s">
        <v>1112</v>
      </c>
      <c r="G179" s="7" t="s">
        <v>1792</v>
      </c>
      <c r="H179" s="7" t="s">
        <v>703</v>
      </c>
    </row>
    <row r="180" spans="1:8" ht="45">
      <c r="A180" s="7" t="s">
        <v>741</v>
      </c>
      <c r="B180" s="7" t="s">
        <v>1793</v>
      </c>
      <c r="C180" s="7" t="s">
        <v>1794</v>
      </c>
      <c r="D180" s="7" t="s">
        <v>1795</v>
      </c>
      <c r="E180" s="7" t="s">
        <v>1796</v>
      </c>
      <c r="F180" s="7" t="s">
        <v>703</v>
      </c>
      <c r="G180" s="7" t="s">
        <v>1797</v>
      </c>
      <c r="H180" s="7" t="s">
        <v>703</v>
      </c>
    </row>
    <row r="181" spans="1:8" ht="60">
      <c r="A181" s="7" t="s">
        <v>741</v>
      </c>
      <c r="B181" s="7" t="s">
        <v>1798</v>
      </c>
      <c r="C181" s="7" t="s">
        <v>1799</v>
      </c>
      <c r="D181" s="7" t="s">
        <v>1800</v>
      </c>
      <c r="E181" s="7" t="s">
        <v>1801</v>
      </c>
      <c r="F181" s="7" t="s">
        <v>1112</v>
      </c>
      <c r="G181" s="7" t="s">
        <v>1802</v>
      </c>
      <c r="H181" s="7" t="s">
        <v>703</v>
      </c>
    </row>
    <row r="182" spans="1:8" ht="60">
      <c r="A182" s="7" t="s">
        <v>984</v>
      </c>
      <c r="B182" s="7" t="s">
        <v>1803</v>
      </c>
      <c r="C182" s="7" t="s">
        <v>1804</v>
      </c>
      <c r="D182" s="7" t="s">
        <v>1805</v>
      </c>
      <c r="E182" s="7" t="s">
        <v>1806</v>
      </c>
      <c r="F182" s="7" t="s">
        <v>703</v>
      </c>
      <c r="G182" s="7" t="s">
        <v>1807</v>
      </c>
      <c r="H182" s="7" t="s">
        <v>703</v>
      </c>
    </row>
    <row r="183" spans="1:8" ht="45">
      <c r="A183" s="7" t="s">
        <v>984</v>
      </c>
      <c r="B183" s="7" t="s">
        <v>1808</v>
      </c>
      <c r="C183" s="7" t="s">
        <v>1809</v>
      </c>
      <c r="D183" s="7" t="s">
        <v>1810</v>
      </c>
      <c r="E183" s="7" t="s">
        <v>1811</v>
      </c>
      <c r="F183" s="7" t="s">
        <v>1112</v>
      </c>
      <c r="G183" s="7" t="s">
        <v>1812</v>
      </c>
      <c r="H183" s="7" t="s">
        <v>703</v>
      </c>
    </row>
    <row r="184" spans="1:8" ht="30">
      <c r="A184" s="7" t="s">
        <v>984</v>
      </c>
      <c r="B184" s="7" t="s">
        <v>1813</v>
      </c>
      <c r="C184" s="7" t="s">
        <v>1814</v>
      </c>
      <c r="D184" s="7" t="s">
        <v>1815</v>
      </c>
      <c r="E184" s="7" t="s">
        <v>1816</v>
      </c>
      <c r="F184" s="7" t="s">
        <v>1112</v>
      </c>
      <c r="G184" s="7" t="s">
        <v>1817</v>
      </c>
      <c r="H184" s="7" t="s">
        <v>703</v>
      </c>
    </row>
    <row r="185" spans="1:8" ht="45">
      <c r="A185" s="7" t="s">
        <v>984</v>
      </c>
      <c r="B185" s="7" t="s">
        <v>1818</v>
      </c>
      <c r="C185" s="7" t="s">
        <v>1819</v>
      </c>
      <c r="D185" s="7" t="s">
        <v>1820</v>
      </c>
      <c r="E185" s="7" t="s">
        <v>1821</v>
      </c>
      <c r="F185" s="7" t="s">
        <v>1112</v>
      </c>
      <c r="G185" s="7" t="s">
        <v>1817</v>
      </c>
      <c r="H185" s="7" t="s">
        <v>703</v>
      </c>
    </row>
    <row r="186" spans="1:8" ht="30">
      <c r="A186" s="7" t="s">
        <v>984</v>
      </c>
      <c r="B186" s="7" t="s">
        <v>1822</v>
      </c>
      <c r="C186" s="7" t="s">
        <v>1823</v>
      </c>
      <c r="D186" s="7" t="s">
        <v>1824</v>
      </c>
      <c r="E186" s="7" t="s">
        <v>1825</v>
      </c>
      <c r="F186" s="7" t="s">
        <v>1112</v>
      </c>
      <c r="G186" s="7" t="s">
        <v>1817</v>
      </c>
      <c r="H186" s="7" t="s">
        <v>703</v>
      </c>
    </row>
    <row r="187" spans="1:8" ht="30">
      <c r="A187" s="7" t="s">
        <v>984</v>
      </c>
      <c r="B187" s="7" t="s">
        <v>1826</v>
      </c>
      <c r="C187" s="7" t="s">
        <v>1827</v>
      </c>
      <c r="D187" s="7" t="s">
        <v>1828</v>
      </c>
      <c r="E187" s="7" t="s">
        <v>1829</v>
      </c>
      <c r="F187" s="7" t="s">
        <v>703</v>
      </c>
      <c r="G187" s="7" t="s">
        <v>1830</v>
      </c>
      <c r="H187" s="7" t="s">
        <v>703</v>
      </c>
    </row>
    <row r="188" spans="1:8" ht="30">
      <c r="A188" s="7" t="s">
        <v>984</v>
      </c>
      <c r="B188" s="7" t="s">
        <v>1831</v>
      </c>
      <c r="C188" s="7" t="s">
        <v>1832</v>
      </c>
      <c r="D188" s="7" t="s">
        <v>1833</v>
      </c>
      <c r="E188" s="7" t="s">
        <v>1834</v>
      </c>
      <c r="F188" s="7" t="s">
        <v>703</v>
      </c>
      <c r="G188" s="7" t="s">
        <v>1835</v>
      </c>
      <c r="H188" s="7" t="s">
        <v>703</v>
      </c>
    </row>
    <row r="189" spans="1:8" ht="45">
      <c r="A189" s="7" t="s">
        <v>984</v>
      </c>
      <c r="B189" s="7" t="s">
        <v>1836</v>
      </c>
      <c r="C189" s="7" t="s">
        <v>1837</v>
      </c>
      <c r="D189" s="7" t="s">
        <v>1838</v>
      </c>
      <c r="E189" s="7" t="s">
        <v>1839</v>
      </c>
      <c r="F189" s="7" t="s">
        <v>703</v>
      </c>
      <c r="G189" s="7" t="s">
        <v>1840</v>
      </c>
      <c r="H189" s="7" t="s">
        <v>703</v>
      </c>
    </row>
    <row r="190" spans="1:8" ht="60">
      <c r="A190" s="7" t="s">
        <v>984</v>
      </c>
      <c r="B190" s="7" t="s">
        <v>1841</v>
      </c>
      <c r="C190" s="7" t="s">
        <v>1842</v>
      </c>
      <c r="D190" s="7" t="s">
        <v>1843</v>
      </c>
      <c r="E190" s="7" t="s">
        <v>1844</v>
      </c>
      <c r="F190" s="7" t="s">
        <v>1112</v>
      </c>
      <c r="G190" s="7" t="s">
        <v>1845</v>
      </c>
      <c r="H190" s="7" t="s">
        <v>703</v>
      </c>
    </row>
    <row r="191" spans="1:8" ht="30">
      <c r="A191" s="7" t="s">
        <v>203</v>
      </c>
      <c r="B191" s="7" t="s">
        <v>1846</v>
      </c>
      <c r="C191" s="7" t="s">
        <v>1847</v>
      </c>
      <c r="D191" s="7" t="s">
        <v>1848</v>
      </c>
      <c r="E191" s="7" t="s">
        <v>1849</v>
      </c>
      <c r="F191" s="7" t="s">
        <v>1300</v>
      </c>
      <c r="G191" s="7" t="s">
        <v>1850</v>
      </c>
      <c r="H191" s="7" t="s">
        <v>703</v>
      </c>
    </row>
    <row r="192" spans="1:8" ht="45">
      <c r="A192" s="7" t="s">
        <v>203</v>
      </c>
      <c r="B192" s="7" t="s">
        <v>1851</v>
      </c>
      <c r="C192" s="7" t="s">
        <v>1852</v>
      </c>
      <c r="D192" s="7" t="s">
        <v>1853</v>
      </c>
      <c r="E192" s="7" t="s">
        <v>1854</v>
      </c>
      <c r="F192" s="7" t="s">
        <v>1112</v>
      </c>
      <c r="G192" s="7" t="s">
        <v>1855</v>
      </c>
      <c r="H192" s="7" t="s">
        <v>703</v>
      </c>
    </row>
    <row r="193" spans="1:8" ht="30">
      <c r="A193" s="7" t="s">
        <v>203</v>
      </c>
      <c r="B193" s="7" t="s">
        <v>1856</v>
      </c>
      <c r="C193" s="7" t="s">
        <v>1857</v>
      </c>
      <c r="D193" s="7" t="s">
        <v>1858</v>
      </c>
      <c r="E193" s="7" t="s">
        <v>1859</v>
      </c>
      <c r="F193" s="7" t="s">
        <v>1300</v>
      </c>
      <c r="G193" s="7" t="s">
        <v>1860</v>
      </c>
      <c r="H193" s="7" t="s">
        <v>703</v>
      </c>
    </row>
    <row r="194" spans="1:8" ht="30">
      <c r="A194" s="7" t="s">
        <v>203</v>
      </c>
      <c r="B194" s="7" t="s">
        <v>1861</v>
      </c>
      <c r="C194" s="7" t="s">
        <v>1862</v>
      </c>
      <c r="D194" s="7" t="s">
        <v>1863</v>
      </c>
      <c r="E194" s="7" t="s">
        <v>1864</v>
      </c>
      <c r="F194" s="7" t="s">
        <v>1300</v>
      </c>
      <c r="G194" s="7" t="s">
        <v>1865</v>
      </c>
      <c r="H194" s="7" t="s">
        <v>703</v>
      </c>
    </row>
    <row r="195" spans="1:8" ht="30">
      <c r="A195" s="7" t="s">
        <v>203</v>
      </c>
      <c r="B195" s="7" t="s">
        <v>1866</v>
      </c>
      <c r="C195" s="7" t="s">
        <v>1867</v>
      </c>
      <c r="D195" s="7" t="s">
        <v>1868</v>
      </c>
      <c r="E195" s="7" t="s">
        <v>1869</v>
      </c>
      <c r="F195" s="7" t="s">
        <v>1300</v>
      </c>
      <c r="G195" s="7" t="s">
        <v>1870</v>
      </c>
      <c r="H195" s="7" t="s">
        <v>703</v>
      </c>
    </row>
    <row r="196" spans="1:8" ht="30">
      <c r="A196" s="7" t="s">
        <v>203</v>
      </c>
      <c r="B196" s="7" t="s">
        <v>1871</v>
      </c>
      <c r="C196" s="7" t="s">
        <v>1872</v>
      </c>
      <c r="D196" s="7" t="s">
        <v>1873</v>
      </c>
      <c r="E196" s="7" t="s">
        <v>1874</v>
      </c>
      <c r="F196" s="7" t="s">
        <v>1300</v>
      </c>
      <c r="G196" s="7" t="s">
        <v>1875</v>
      </c>
      <c r="H196" s="7" t="s">
        <v>703</v>
      </c>
    </row>
    <row r="197" spans="1:8" ht="30">
      <c r="A197" s="7" t="s">
        <v>203</v>
      </c>
      <c r="B197" s="7" t="s">
        <v>1876</v>
      </c>
      <c r="C197" s="7" t="s">
        <v>1877</v>
      </c>
      <c r="D197" s="7" t="s">
        <v>1878</v>
      </c>
      <c r="E197" s="7" t="s">
        <v>1879</v>
      </c>
      <c r="F197" s="7" t="s">
        <v>1300</v>
      </c>
      <c r="G197" s="7" t="s">
        <v>1880</v>
      </c>
      <c r="H197" s="7" t="s">
        <v>703</v>
      </c>
    </row>
    <row r="198" spans="1:8" ht="45">
      <c r="A198" s="7" t="s">
        <v>203</v>
      </c>
      <c r="B198" s="7" t="s">
        <v>1881</v>
      </c>
      <c r="C198" s="7" t="s">
        <v>1882</v>
      </c>
      <c r="D198" s="7" t="s">
        <v>1883</v>
      </c>
      <c r="E198" s="7" t="s">
        <v>1884</v>
      </c>
      <c r="F198" s="7" t="s">
        <v>703</v>
      </c>
      <c r="G198" s="7" t="s">
        <v>1885</v>
      </c>
      <c r="H198" s="7" t="s">
        <v>703</v>
      </c>
    </row>
    <row r="199" spans="1:8" ht="45">
      <c r="A199" s="7" t="s">
        <v>203</v>
      </c>
      <c r="B199" s="7" t="s">
        <v>1886</v>
      </c>
      <c r="C199" s="7" t="s">
        <v>1887</v>
      </c>
      <c r="D199" s="7" t="s">
        <v>1888</v>
      </c>
      <c r="E199" s="7" t="s">
        <v>1889</v>
      </c>
      <c r="F199" s="7" t="s">
        <v>703</v>
      </c>
      <c r="G199" s="7" t="s">
        <v>1890</v>
      </c>
      <c r="H199" s="7" t="s">
        <v>703</v>
      </c>
    </row>
    <row r="200" spans="1:8" ht="30">
      <c r="A200" s="7" t="s">
        <v>203</v>
      </c>
      <c r="B200" s="7" t="s">
        <v>708</v>
      </c>
      <c r="C200" s="7" t="s">
        <v>1891</v>
      </c>
      <c r="D200" s="7" t="s">
        <v>1892</v>
      </c>
      <c r="E200" s="7" t="s">
        <v>1893</v>
      </c>
      <c r="F200" s="7" t="s">
        <v>703</v>
      </c>
      <c r="G200" s="7" t="s">
        <v>1894</v>
      </c>
      <c r="H200" s="7" t="s">
        <v>703</v>
      </c>
    </row>
    <row r="201" spans="1:8" ht="30">
      <c r="A201" s="7" t="s">
        <v>203</v>
      </c>
      <c r="B201" s="7" t="s">
        <v>1895</v>
      </c>
      <c r="C201" s="7" t="s">
        <v>1896</v>
      </c>
      <c r="D201" s="7" t="s">
        <v>1897</v>
      </c>
      <c r="E201" s="7" t="s">
        <v>1898</v>
      </c>
      <c r="F201" s="7" t="s">
        <v>1112</v>
      </c>
      <c r="G201" s="7" t="s">
        <v>1899</v>
      </c>
      <c r="H201" s="7" t="s">
        <v>703</v>
      </c>
    </row>
    <row r="202" spans="1:8" ht="45">
      <c r="A202" s="7" t="s">
        <v>203</v>
      </c>
      <c r="B202" s="7" t="s">
        <v>1900</v>
      </c>
      <c r="C202" s="7" t="s">
        <v>1901</v>
      </c>
      <c r="D202" s="7" t="s">
        <v>1902</v>
      </c>
      <c r="E202" s="7" t="s">
        <v>1903</v>
      </c>
      <c r="F202" s="7" t="s">
        <v>703</v>
      </c>
      <c r="G202" s="7" t="s">
        <v>1904</v>
      </c>
      <c r="H202" s="7" t="s">
        <v>703</v>
      </c>
    </row>
    <row r="203" spans="1:8" ht="45">
      <c r="A203" s="7" t="s">
        <v>203</v>
      </c>
      <c r="B203" s="7" t="s">
        <v>1905</v>
      </c>
      <c r="C203" s="7" t="s">
        <v>1906</v>
      </c>
      <c r="D203" s="7" t="s">
        <v>1907</v>
      </c>
      <c r="E203" s="7" t="s">
        <v>1908</v>
      </c>
      <c r="F203" s="7" t="s">
        <v>703</v>
      </c>
      <c r="G203" s="7" t="s">
        <v>1909</v>
      </c>
      <c r="H203" s="7" t="s">
        <v>703</v>
      </c>
    </row>
    <row r="204" spans="1:8" ht="45">
      <c r="A204" s="7" t="s">
        <v>203</v>
      </c>
      <c r="B204" s="7" t="s">
        <v>1910</v>
      </c>
      <c r="C204" s="7" t="s">
        <v>1911</v>
      </c>
      <c r="D204" s="7" t="s">
        <v>1912</v>
      </c>
      <c r="E204" s="7" t="s">
        <v>1913</v>
      </c>
      <c r="F204" s="7" t="s">
        <v>703</v>
      </c>
      <c r="G204" s="7" t="s">
        <v>1914</v>
      </c>
      <c r="H204" s="7" t="s">
        <v>703</v>
      </c>
    </row>
    <row r="205" spans="1:8" ht="30">
      <c r="A205" s="7" t="s">
        <v>203</v>
      </c>
      <c r="B205" s="7" t="s">
        <v>1915</v>
      </c>
      <c r="C205" s="7" t="s">
        <v>1916</v>
      </c>
      <c r="D205" s="7" t="s">
        <v>1917</v>
      </c>
      <c r="E205" s="7" t="s">
        <v>1918</v>
      </c>
      <c r="F205" s="7" t="s">
        <v>703</v>
      </c>
      <c r="G205" s="7" t="s">
        <v>1914</v>
      </c>
      <c r="H205" s="7" t="s">
        <v>703</v>
      </c>
    </row>
    <row r="206" spans="1:8" ht="30">
      <c r="A206" s="7" t="s">
        <v>203</v>
      </c>
      <c r="B206" s="7" t="s">
        <v>1919</v>
      </c>
      <c r="C206" s="7" t="s">
        <v>1920</v>
      </c>
      <c r="D206" s="7" t="s">
        <v>1921</v>
      </c>
      <c r="E206" s="7" t="s">
        <v>1922</v>
      </c>
      <c r="F206" s="7" t="s">
        <v>703</v>
      </c>
      <c r="G206" s="7" t="s">
        <v>1923</v>
      </c>
      <c r="H206" s="7" t="s">
        <v>703</v>
      </c>
    </row>
    <row r="207" spans="1:8" ht="30">
      <c r="A207" s="7" t="s">
        <v>203</v>
      </c>
      <c r="B207" s="7" t="s">
        <v>1924</v>
      </c>
      <c r="C207" s="7" t="s">
        <v>1925</v>
      </c>
      <c r="D207" s="7" t="s">
        <v>1926</v>
      </c>
      <c r="E207" s="7" t="s">
        <v>1927</v>
      </c>
      <c r="F207" s="7" t="s">
        <v>1112</v>
      </c>
      <c r="G207" s="7" t="s">
        <v>1928</v>
      </c>
      <c r="H207" s="7" t="s">
        <v>703</v>
      </c>
    </row>
    <row r="208" spans="1:8" ht="30">
      <c r="A208" s="7" t="s">
        <v>203</v>
      </c>
      <c r="B208" s="7" t="s">
        <v>1929</v>
      </c>
      <c r="C208" s="7" t="s">
        <v>1930</v>
      </c>
      <c r="D208" s="7" t="s">
        <v>1931</v>
      </c>
      <c r="E208" s="7" t="s">
        <v>1932</v>
      </c>
      <c r="F208" s="7" t="s">
        <v>703</v>
      </c>
      <c r="G208" s="7" t="s">
        <v>1933</v>
      </c>
      <c r="H208" s="7" t="s">
        <v>703</v>
      </c>
    </row>
    <row r="209" spans="1:8" ht="45">
      <c r="A209" s="7" t="s">
        <v>203</v>
      </c>
      <c r="B209" s="7" t="s">
        <v>1934</v>
      </c>
      <c r="C209" s="7" t="s">
        <v>1935</v>
      </c>
      <c r="D209" s="7" t="s">
        <v>1936</v>
      </c>
      <c r="E209" s="7" t="s">
        <v>1937</v>
      </c>
      <c r="F209" s="7" t="s">
        <v>1112</v>
      </c>
      <c r="G209" s="7" t="s">
        <v>1938</v>
      </c>
      <c r="H209" s="7" t="s">
        <v>703</v>
      </c>
    </row>
    <row r="210" spans="1:8" ht="30">
      <c r="A210" s="7" t="s">
        <v>203</v>
      </c>
      <c r="B210" s="7" t="s">
        <v>1939</v>
      </c>
      <c r="C210" s="7" t="s">
        <v>1940</v>
      </c>
      <c r="D210" s="7" t="s">
        <v>1941</v>
      </c>
      <c r="E210" s="7" t="s">
        <v>1942</v>
      </c>
      <c r="F210" s="7" t="s">
        <v>1112</v>
      </c>
      <c r="G210" s="7" t="s">
        <v>1943</v>
      </c>
      <c r="H210" s="7" t="s">
        <v>703</v>
      </c>
    </row>
    <row r="211" spans="1:8" ht="30">
      <c r="A211" s="7" t="s">
        <v>203</v>
      </c>
      <c r="B211" s="7" t="s">
        <v>1944</v>
      </c>
      <c r="C211" s="7" t="s">
        <v>1945</v>
      </c>
      <c r="D211" s="7" t="s">
        <v>1946</v>
      </c>
      <c r="E211" s="7" t="s">
        <v>1947</v>
      </c>
      <c r="F211" s="7" t="s">
        <v>703</v>
      </c>
      <c r="G211" s="7" t="s">
        <v>1943</v>
      </c>
      <c r="H211" s="7" t="s">
        <v>703</v>
      </c>
    </row>
    <row r="212" spans="1:8" ht="45">
      <c r="A212" s="7" t="s">
        <v>203</v>
      </c>
      <c r="B212" s="7" t="s">
        <v>1948</v>
      </c>
      <c r="C212" s="7" t="s">
        <v>1949</v>
      </c>
      <c r="D212" s="7" t="s">
        <v>1950</v>
      </c>
      <c r="E212" s="7" t="s">
        <v>1951</v>
      </c>
      <c r="F212" s="7" t="s">
        <v>703</v>
      </c>
      <c r="G212" s="7" t="s">
        <v>1952</v>
      </c>
      <c r="H212" s="7" t="s">
        <v>703</v>
      </c>
    </row>
    <row r="213" spans="1:8" ht="45">
      <c r="A213" s="7" t="s">
        <v>203</v>
      </c>
      <c r="B213" s="7" t="s">
        <v>1953</v>
      </c>
      <c r="C213" s="7" t="s">
        <v>1954</v>
      </c>
      <c r="D213" s="7" t="s">
        <v>1955</v>
      </c>
      <c r="E213" s="7" t="s">
        <v>1956</v>
      </c>
      <c r="F213" s="7" t="s">
        <v>703</v>
      </c>
      <c r="G213" s="7" t="s">
        <v>1957</v>
      </c>
      <c r="H213" s="7" t="s">
        <v>703</v>
      </c>
    </row>
    <row r="214" spans="1:8" ht="30">
      <c r="A214" s="7" t="s">
        <v>203</v>
      </c>
      <c r="B214" s="7" t="s">
        <v>1958</v>
      </c>
      <c r="C214" s="7" t="s">
        <v>1959</v>
      </c>
      <c r="D214" s="7" t="s">
        <v>1960</v>
      </c>
      <c r="E214" s="7" t="s">
        <v>1961</v>
      </c>
      <c r="F214" s="7" t="s">
        <v>703</v>
      </c>
      <c r="G214" s="7" t="s">
        <v>1962</v>
      </c>
      <c r="H214" s="7" t="s">
        <v>703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workbookViewId="0"/>
  </sheetViews>
  <sheetFormatPr defaultRowHeight="15"/>
  <cols>
    <col min="1" max="1" width="24" customWidth="1"/>
    <col min="2" max="2" width="12" customWidth="1"/>
    <col min="3" max="3" width="32" customWidth="1"/>
    <col min="4" max="4" width="40" customWidth="1"/>
    <col min="5" max="5" width="26" customWidth="1"/>
    <col min="6" max="6" width="28" customWidth="1"/>
    <col min="7" max="7" width="14" customWidth="1"/>
    <col min="8" max="8" width="38" customWidth="1"/>
  </cols>
  <sheetData>
    <row r="1" spans="1:8" ht="30" customHeight="1">
      <c r="A1" s="200" t="s">
        <v>2316</v>
      </c>
      <c r="B1" s="200"/>
      <c r="C1" s="200"/>
      <c r="D1" s="200"/>
      <c r="E1" s="200"/>
      <c r="F1" s="200"/>
      <c r="G1" s="200"/>
      <c r="H1" s="200"/>
    </row>
    <row r="2" spans="1:8">
      <c r="A2" s="192" t="s">
        <v>2317</v>
      </c>
      <c r="B2" s="192"/>
      <c r="C2" s="192"/>
      <c r="D2" s="192"/>
      <c r="E2" s="192"/>
      <c r="F2" s="192"/>
      <c r="G2" s="192"/>
      <c r="H2" s="192"/>
    </row>
    <row r="4" spans="1:8">
      <c r="A4" s="41" t="s">
        <v>2318</v>
      </c>
      <c r="B4" s="42" t="s">
        <v>2319</v>
      </c>
      <c r="C4" s="42" t="s">
        <v>2320</v>
      </c>
      <c r="D4" s="42" t="s">
        <v>2321</v>
      </c>
      <c r="E4" s="42" t="s">
        <v>2322</v>
      </c>
      <c r="F4" s="42" t="s">
        <v>2323</v>
      </c>
      <c r="G4" s="42" t="s">
        <v>695</v>
      </c>
      <c r="H4" s="43" t="s">
        <v>2114</v>
      </c>
    </row>
    <row r="5" spans="1:8" ht="25.5">
      <c r="A5" s="12" t="s">
        <v>2324</v>
      </c>
      <c r="B5" s="51" t="s">
        <v>2325</v>
      </c>
      <c r="C5" s="45" t="s">
        <v>2326</v>
      </c>
      <c r="D5" s="45" t="s">
        <v>2327</v>
      </c>
      <c r="E5" s="45" t="s">
        <v>2328</v>
      </c>
      <c r="F5" s="45" t="s">
        <v>2329</v>
      </c>
      <c r="G5" s="23" t="s">
        <v>1112</v>
      </c>
      <c r="H5" s="16" t="s">
        <v>2330</v>
      </c>
    </row>
    <row r="6" spans="1:8" ht="25.5">
      <c r="A6" s="13" t="s">
        <v>674</v>
      </c>
      <c r="B6" s="52" t="s">
        <v>2325</v>
      </c>
      <c r="C6" s="46" t="s">
        <v>2331</v>
      </c>
      <c r="D6" s="46" t="s">
        <v>2332</v>
      </c>
      <c r="E6" s="46" t="s">
        <v>2328</v>
      </c>
      <c r="F6" s="46" t="s">
        <v>2329</v>
      </c>
      <c r="G6" s="24" t="s">
        <v>703</v>
      </c>
      <c r="H6" s="21" t="s">
        <v>2333</v>
      </c>
    </row>
    <row r="7" spans="1:8" ht="25.5">
      <c r="A7" s="13" t="s">
        <v>6</v>
      </c>
      <c r="B7" s="52" t="s">
        <v>2325</v>
      </c>
      <c r="C7" s="46" t="s">
        <v>2334</v>
      </c>
      <c r="D7" s="46" t="s">
        <v>2335</v>
      </c>
      <c r="E7" s="46" t="s">
        <v>2328</v>
      </c>
      <c r="F7" s="46" t="s">
        <v>2329</v>
      </c>
      <c r="G7" s="24" t="s">
        <v>703</v>
      </c>
      <c r="H7" s="21" t="s">
        <v>2336</v>
      </c>
    </row>
    <row r="8" spans="1:8" ht="25.5">
      <c r="A8" s="13" t="s">
        <v>8</v>
      </c>
      <c r="B8" s="52" t="s">
        <v>2325</v>
      </c>
      <c r="C8" s="46" t="s">
        <v>2337</v>
      </c>
      <c r="D8" s="46" t="s">
        <v>2338</v>
      </c>
      <c r="E8" s="46" t="s">
        <v>2328</v>
      </c>
      <c r="F8" s="46" t="s">
        <v>2329</v>
      </c>
      <c r="G8" s="24" t="s">
        <v>703</v>
      </c>
      <c r="H8" s="21" t="s">
        <v>2339</v>
      </c>
    </row>
    <row r="9" spans="1:8" ht="25.5">
      <c r="A9" s="13" t="s">
        <v>10</v>
      </c>
      <c r="B9" s="52" t="s">
        <v>2325</v>
      </c>
      <c r="C9" s="46" t="s">
        <v>2340</v>
      </c>
      <c r="D9" s="46" t="s">
        <v>2341</v>
      </c>
      <c r="E9" s="46" t="s">
        <v>2328</v>
      </c>
      <c r="F9" s="46" t="s">
        <v>2329</v>
      </c>
      <c r="G9" s="24" t="s">
        <v>703</v>
      </c>
      <c r="H9" s="21" t="s">
        <v>2342</v>
      </c>
    </row>
    <row r="10" spans="1:8" ht="25.5">
      <c r="A10" s="13" t="s">
        <v>11</v>
      </c>
      <c r="B10" s="52" t="s">
        <v>2325</v>
      </c>
      <c r="C10" s="46" t="s">
        <v>2343</v>
      </c>
      <c r="D10" s="46" t="s">
        <v>2344</v>
      </c>
      <c r="E10" s="46" t="s">
        <v>2328</v>
      </c>
      <c r="F10" s="46" t="s">
        <v>2329</v>
      </c>
      <c r="G10" s="24" t="s">
        <v>703</v>
      </c>
      <c r="H10" s="21" t="s">
        <v>2345</v>
      </c>
    </row>
    <row r="11" spans="1:8" ht="25.5">
      <c r="A11" s="13" t="s">
        <v>13</v>
      </c>
      <c r="B11" s="52" t="s">
        <v>2325</v>
      </c>
      <c r="C11" s="46" t="s">
        <v>2346</v>
      </c>
      <c r="D11" s="46" t="s">
        <v>2347</v>
      </c>
      <c r="E11" s="46" t="s">
        <v>2328</v>
      </c>
      <c r="F11" s="46" t="s">
        <v>2329</v>
      </c>
      <c r="G11" s="24" t="s">
        <v>1112</v>
      </c>
      <c r="H11" s="21" t="s">
        <v>2348</v>
      </c>
    </row>
    <row r="12" spans="1:8" ht="25.5">
      <c r="A12" s="13" t="s">
        <v>15</v>
      </c>
      <c r="B12" s="52" t="s">
        <v>2325</v>
      </c>
      <c r="C12" s="46" t="s">
        <v>2349</v>
      </c>
      <c r="D12" s="46" t="s">
        <v>2350</v>
      </c>
      <c r="E12" s="46" t="s">
        <v>2328</v>
      </c>
      <c r="F12" s="46" t="s">
        <v>2329</v>
      </c>
      <c r="G12" s="24" t="s">
        <v>703</v>
      </c>
      <c r="H12" s="21" t="s">
        <v>2351</v>
      </c>
    </row>
    <row r="13" spans="1:8" ht="38.25">
      <c r="A13" s="13" t="s">
        <v>17</v>
      </c>
      <c r="B13" s="52" t="s">
        <v>2325</v>
      </c>
      <c r="C13" s="46" t="s">
        <v>2352</v>
      </c>
      <c r="D13" s="46" t="s">
        <v>2353</v>
      </c>
      <c r="E13" s="46" t="s">
        <v>2354</v>
      </c>
      <c r="F13" s="46" t="s">
        <v>2355</v>
      </c>
      <c r="G13" s="24" t="s">
        <v>2356</v>
      </c>
      <c r="H13" s="21" t="s">
        <v>2357</v>
      </c>
    </row>
    <row r="14" spans="1:8" ht="25.5">
      <c r="A14" s="13" t="s">
        <v>19</v>
      </c>
      <c r="B14" s="52" t="s">
        <v>2325</v>
      </c>
      <c r="C14" s="46" t="s">
        <v>2358</v>
      </c>
      <c r="D14" s="46" t="s">
        <v>2359</v>
      </c>
      <c r="E14" s="46" t="s">
        <v>2354</v>
      </c>
      <c r="F14" s="46" t="s">
        <v>2360</v>
      </c>
      <c r="G14" s="24" t="s">
        <v>2356</v>
      </c>
      <c r="H14" s="21" t="s">
        <v>2357</v>
      </c>
    </row>
    <row r="15" spans="1:8" ht="25.5">
      <c r="A15" s="13" t="s">
        <v>21</v>
      </c>
      <c r="B15" s="52" t="s">
        <v>2325</v>
      </c>
      <c r="C15" s="46" t="s">
        <v>2361</v>
      </c>
      <c r="D15" s="46" t="s">
        <v>2362</v>
      </c>
      <c r="E15" s="46" t="s">
        <v>2328</v>
      </c>
      <c r="F15" s="46" t="s">
        <v>2329</v>
      </c>
      <c r="G15" s="24" t="s">
        <v>1112</v>
      </c>
      <c r="H15" s="21" t="s">
        <v>2363</v>
      </c>
    </row>
    <row r="16" spans="1:8" ht="38.25">
      <c r="A16" s="13" t="s">
        <v>672</v>
      </c>
      <c r="B16" s="52" t="s">
        <v>2325</v>
      </c>
      <c r="C16" s="46" t="s">
        <v>2364</v>
      </c>
      <c r="D16" s="46" t="s">
        <v>2365</v>
      </c>
      <c r="E16" s="46" t="s">
        <v>2328</v>
      </c>
      <c r="F16" s="46" t="s">
        <v>2329</v>
      </c>
      <c r="G16" s="24" t="s">
        <v>703</v>
      </c>
      <c r="H16" s="21" t="s">
        <v>2366</v>
      </c>
    </row>
    <row r="17" spans="1:8">
      <c r="A17" s="13" t="s">
        <v>676</v>
      </c>
      <c r="B17" s="52" t="s">
        <v>2325</v>
      </c>
      <c r="C17" s="46" t="s">
        <v>2367</v>
      </c>
      <c r="D17" s="46" t="s">
        <v>2368</v>
      </c>
      <c r="E17" s="46" t="s">
        <v>2328</v>
      </c>
      <c r="F17" s="46" t="s">
        <v>2329</v>
      </c>
      <c r="G17" s="24" t="s">
        <v>1112</v>
      </c>
      <c r="H17" s="21" t="s">
        <v>2369</v>
      </c>
    </row>
    <row r="18" spans="1:8" ht="25.5">
      <c r="A18" s="13" t="s">
        <v>678</v>
      </c>
      <c r="B18" s="52" t="s">
        <v>2325</v>
      </c>
      <c r="C18" s="46" t="s">
        <v>2370</v>
      </c>
      <c r="D18" s="46" t="s">
        <v>2371</v>
      </c>
      <c r="E18" s="46" t="s">
        <v>2328</v>
      </c>
      <c r="F18" s="46" t="s">
        <v>2329</v>
      </c>
      <c r="G18" s="24" t="s">
        <v>703</v>
      </c>
      <c r="H18" s="21" t="s">
        <v>2372</v>
      </c>
    </row>
    <row r="19" spans="1:8" ht="25.5">
      <c r="A19" s="14" t="s">
        <v>682</v>
      </c>
      <c r="B19" s="53" t="s">
        <v>2325</v>
      </c>
      <c r="C19" s="47" t="s">
        <v>2373</v>
      </c>
      <c r="D19" s="47" t="s">
        <v>2374</v>
      </c>
      <c r="E19" s="47" t="s">
        <v>2328</v>
      </c>
      <c r="F19" s="47" t="s">
        <v>2329</v>
      </c>
      <c r="G19" s="25" t="s">
        <v>703</v>
      </c>
      <c r="H19" s="17" t="s">
        <v>2375</v>
      </c>
    </row>
    <row r="21" spans="1:8" ht="60">
      <c r="A21" s="7" t="s">
        <v>2376</v>
      </c>
      <c r="B21" s="7" t="s">
        <v>2377</v>
      </c>
      <c r="C21" s="7" t="s">
        <v>2378</v>
      </c>
      <c r="D21" s="7" t="s">
        <v>2379</v>
      </c>
      <c r="E21" s="7" t="s">
        <v>2312</v>
      </c>
      <c r="F21" s="7" t="s">
        <v>2380</v>
      </c>
      <c r="G21" s="7" t="s">
        <v>703</v>
      </c>
      <c r="H21" s="7" t="s">
        <v>2297</v>
      </c>
    </row>
    <row r="22" spans="1:8" ht="75">
      <c r="A22" s="7" t="s">
        <v>2381</v>
      </c>
      <c r="B22" s="7" t="s">
        <v>2382</v>
      </c>
      <c r="C22" s="7" t="s">
        <v>2383</v>
      </c>
      <c r="D22" s="7" t="s">
        <v>2379</v>
      </c>
      <c r="E22" s="7" t="s">
        <v>2312</v>
      </c>
      <c r="F22" s="7" t="s">
        <v>2380</v>
      </c>
      <c r="G22" s="7" t="s">
        <v>703</v>
      </c>
      <c r="H22" s="7" t="s">
        <v>2297</v>
      </c>
    </row>
    <row r="23" spans="1:8" ht="60">
      <c r="A23" s="7" t="s">
        <v>2384</v>
      </c>
      <c r="B23" s="7" t="s">
        <v>2385</v>
      </c>
      <c r="C23" s="7" t="s">
        <v>2386</v>
      </c>
      <c r="D23" s="7" t="s">
        <v>2379</v>
      </c>
      <c r="E23" s="7" t="s">
        <v>2312</v>
      </c>
      <c r="F23" s="7" t="s">
        <v>2380</v>
      </c>
      <c r="G23" s="7" t="s">
        <v>703</v>
      </c>
      <c r="H23" s="7" t="s">
        <v>2297</v>
      </c>
    </row>
    <row r="24" spans="1:8" ht="60">
      <c r="A24" s="7" t="s">
        <v>17</v>
      </c>
      <c r="B24" s="7" t="s">
        <v>2387</v>
      </c>
      <c r="C24" s="7" t="s">
        <v>2388</v>
      </c>
      <c r="D24" s="7" t="s">
        <v>2379</v>
      </c>
      <c r="E24" s="7" t="s">
        <v>2312</v>
      </c>
      <c r="F24" s="7" t="s">
        <v>2389</v>
      </c>
      <c r="G24" s="7" t="s">
        <v>703</v>
      </c>
      <c r="H24" s="7" t="s">
        <v>2297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"/>
  <sheetViews>
    <sheetView workbookViewId="0"/>
  </sheetViews>
  <sheetFormatPr defaultRowHeight="15"/>
  <cols>
    <col min="1" max="1" width="24" customWidth="1"/>
    <col min="2" max="2" width="18" customWidth="1"/>
    <col min="3" max="3" width="42" customWidth="1"/>
    <col min="4" max="4" width="48" customWidth="1"/>
    <col min="5" max="5" width="18" customWidth="1"/>
    <col min="6" max="6" width="12" customWidth="1"/>
  </cols>
  <sheetData>
    <row r="1" spans="1:6" ht="26.1" customHeight="1">
      <c r="A1" s="129" t="s">
        <v>2390</v>
      </c>
      <c r="B1" s="129"/>
      <c r="C1" s="129"/>
      <c r="D1" s="129"/>
      <c r="E1" s="129"/>
      <c r="F1" s="129"/>
    </row>
    <row r="2" spans="1:6">
      <c r="A2" s="7" t="s">
        <v>2391</v>
      </c>
      <c r="B2" s="7" t="s">
        <v>2297</v>
      </c>
      <c r="C2" s="7"/>
      <c r="D2" s="7"/>
      <c r="E2" s="7"/>
      <c r="F2" s="7"/>
    </row>
    <row r="3" spans="1:6" ht="30">
      <c r="A3" s="7" t="s">
        <v>2392</v>
      </c>
      <c r="B3" s="7" t="s">
        <v>2312</v>
      </c>
      <c r="C3" s="7"/>
      <c r="D3" s="7"/>
      <c r="E3" s="7"/>
      <c r="F3" s="7"/>
    </row>
    <row r="4" spans="1:6" ht="75">
      <c r="A4" s="7" t="s">
        <v>2393</v>
      </c>
      <c r="B4" s="7" t="s">
        <v>2394</v>
      </c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 ht="24" customHeight="1">
      <c r="A6" s="130" t="s">
        <v>2395</v>
      </c>
      <c r="B6" s="130" t="s">
        <v>2396</v>
      </c>
      <c r="C6" s="130" t="s">
        <v>2397</v>
      </c>
      <c r="D6" s="130" t="s">
        <v>2114</v>
      </c>
      <c r="E6" s="130" t="s">
        <v>2398</v>
      </c>
      <c r="F6" s="130" t="s">
        <v>2399</v>
      </c>
    </row>
    <row r="7" spans="1:6" ht="45">
      <c r="A7" s="7" t="s">
        <v>11</v>
      </c>
      <c r="B7" s="7">
        <v>105</v>
      </c>
      <c r="C7" s="7" t="s">
        <v>2400</v>
      </c>
      <c r="D7" s="7" t="s">
        <v>2401</v>
      </c>
      <c r="E7" s="7" t="s">
        <v>2380</v>
      </c>
      <c r="F7" s="7" t="s">
        <v>2379</v>
      </c>
    </row>
    <row r="8" spans="1:6" ht="30">
      <c r="A8" s="7" t="s">
        <v>2402</v>
      </c>
      <c r="B8" s="7">
        <v>38</v>
      </c>
      <c r="C8" s="7" t="s">
        <v>2403</v>
      </c>
      <c r="D8" s="7" t="s">
        <v>2404</v>
      </c>
      <c r="E8" s="7" t="s">
        <v>2380</v>
      </c>
      <c r="F8" s="7" t="s">
        <v>2379</v>
      </c>
    </row>
    <row r="9" spans="1:6" ht="30">
      <c r="A9" s="7" t="s">
        <v>21</v>
      </c>
      <c r="B9" s="7">
        <v>105</v>
      </c>
      <c r="C9" s="7" t="s">
        <v>2405</v>
      </c>
      <c r="D9" s="7" t="s">
        <v>2406</v>
      </c>
      <c r="E9" s="7" t="s">
        <v>2380</v>
      </c>
      <c r="F9" s="7" t="s">
        <v>2379</v>
      </c>
    </row>
    <row r="10" spans="1:6" ht="45">
      <c r="A10" s="7" t="s">
        <v>203</v>
      </c>
      <c r="B10" s="7">
        <v>10</v>
      </c>
      <c r="C10" s="7" t="s">
        <v>17</v>
      </c>
      <c r="D10" s="7" t="s">
        <v>2407</v>
      </c>
      <c r="E10" s="7" t="s">
        <v>2389</v>
      </c>
      <c r="F10" s="7" t="s">
        <v>2379</v>
      </c>
    </row>
    <row r="11" spans="1:6">
      <c r="A11" s="7" t="s">
        <v>678</v>
      </c>
      <c r="B11" s="7">
        <v>1</v>
      </c>
      <c r="C11" s="7" t="s">
        <v>2408</v>
      </c>
      <c r="D11" s="7" t="s">
        <v>2409</v>
      </c>
      <c r="E11" s="7" t="s">
        <v>2380</v>
      </c>
      <c r="F11" s="7" t="s">
        <v>2379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6"/>
  <sheetViews>
    <sheetView workbookViewId="0"/>
  </sheetViews>
  <sheetFormatPr defaultRowHeight="15"/>
  <cols>
    <col min="1" max="1" width="18" customWidth="1"/>
    <col min="2" max="2" width="28" customWidth="1"/>
    <col min="3" max="3" width="48" customWidth="1"/>
    <col min="4" max="4" width="42" customWidth="1"/>
    <col min="5" max="5" width="30" customWidth="1"/>
    <col min="6" max="6" width="12" customWidth="1"/>
    <col min="7" max="7" width="28" customWidth="1"/>
    <col min="8" max="8" width="12" customWidth="1"/>
  </cols>
  <sheetData>
    <row r="1" spans="1:8" ht="24" customHeight="1">
      <c r="A1" s="130" t="s">
        <v>688</v>
      </c>
      <c r="B1" s="130" t="s">
        <v>1075</v>
      </c>
      <c r="C1" s="130" t="s">
        <v>1076</v>
      </c>
      <c r="D1" s="130" t="s">
        <v>1077</v>
      </c>
      <c r="E1" s="130" t="s">
        <v>1078</v>
      </c>
      <c r="F1" s="130" t="s">
        <v>695</v>
      </c>
      <c r="G1" s="130" t="s">
        <v>2410</v>
      </c>
      <c r="H1" s="130" t="s">
        <v>1079</v>
      </c>
    </row>
    <row r="2" spans="1:8" ht="30">
      <c r="A2" s="7" t="s">
        <v>838</v>
      </c>
      <c r="B2" s="7" t="s">
        <v>1486</v>
      </c>
      <c r="C2" s="7" t="s">
        <v>1487</v>
      </c>
      <c r="D2" s="7" t="s">
        <v>1488</v>
      </c>
      <c r="E2" s="7" t="s">
        <v>1489</v>
      </c>
      <c r="F2" s="7" t="s">
        <v>703</v>
      </c>
      <c r="G2" s="7" t="s">
        <v>1490</v>
      </c>
      <c r="H2" s="7" t="s">
        <v>703</v>
      </c>
    </row>
    <row r="3" spans="1:8" ht="45">
      <c r="A3" s="7" t="s">
        <v>838</v>
      </c>
      <c r="B3" s="7" t="s">
        <v>841</v>
      </c>
      <c r="C3" s="7" t="s">
        <v>1491</v>
      </c>
      <c r="D3" s="7" t="s">
        <v>1492</v>
      </c>
      <c r="E3" s="7" t="s">
        <v>1493</v>
      </c>
      <c r="F3" s="7" t="s">
        <v>703</v>
      </c>
      <c r="G3" s="7" t="s">
        <v>1490</v>
      </c>
      <c r="H3" s="7" t="s">
        <v>703</v>
      </c>
    </row>
    <row r="4" spans="1:8" ht="60">
      <c r="A4" s="7" t="s">
        <v>838</v>
      </c>
      <c r="B4" s="7" t="s">
        <v>1494</v>
      </c>
      <c r="C4" s="7" t="s">
        <v>1495</v>
      </c>
      <c r="D4" s="7" t="s">
        <v>870</v>
      </c>
      <c r="E4" s="7" t="s">
        <v>1496</v>
      </c>
      <c r="F4" s="7" t="s">
        <v>703</v>
      </c>
      <c r="G4" s="7" t="s">
        <v>1497</v>
      </c>
      <c r="H4" s="7" t="s">
        <v>703</v>
      </c>
    </row>
    <row r="5" spans="1:8" ht="30">
      <c r="A5" s="7" t="s">
        <v>838</v>
      </c>
      <c r="B5" s="7" t="s">
        <v>1498</v>
      </c>
      <c r="C5" s="7" t="s">
        <v>1499</v>
      </c>
      <c r="D5" s="7" t="s">
        <v>1500</v>
      </c>
      <c r="E5" s="7" t="s">
        <v>1501</v>
      </c>
      <c r="F5" s="7" t="s">
        <v>703</v>
      </c>
      <c r="G5" s="7" t="s">
        <v>1497</v>
      </c>
      <c r="H5" s="7" t="s">
        <v>703</v>
      </c>
    </row>
    <row r="6" spans="1:8" ht="45">
      <c r="A6" s="7" t="s">
        <v>838</v>
      </c>
      <c r="B6" s="7" t="s">
        <v>1502</v>
      </c>
      <c r="C6" s="7" t="s">
        <v>1503</v>
      </c>
      <c r="D6" s="7" t="s">
        <v>1504</v>
      </c>
      <c r="E6" s="7" t="s">
        <v>1505</v>
      </c>
      <c r="F6" s="7" t="s">
        <v>703</v>
      </c>
      <c r="G6" s="7" t="s">
        <v>1506</v>
      </c>
      <c r="H6" s="7" t="s">
        <v>703</v>
      </c>
    </row>
    <row r="7" spans="1:8" ht="45">
      <c r="A7" s="7" t="s">
        <v>838</v>
      </c>
      <c r="B7" s="7" t="s">
        <v>1507</v>
      </c>
      <c r="C7" s="7" t="s">
        <v>1508</v>
      </c>
      <c r="D7" s="7" t="s">
        <v>1509</v>
      </c>
      <c r="E7" s="7" t="s">
        <v>1510</v>
      </c>
      <c r="F7" s="7" t="s">
        <v>703</v>
      </c>
      <c r="G7" s="7" t="s">
        <v>1511</v>
      </c>
      <c r="H7" s="7" t="s">
        <v>703</v>
      </c>
    </row>
    <row r="8" spans="1:8" ht="45">
      <c r="A8" s="7" t="s">
        <v>838</v>
      </c>
      <c r="B8" s="7" t="s">
        <v>1512</v>
      </c>
      <c r="C8" s="7" t="s">
        <v>1513</v>
      </c>
      <c r="D8" s="7" t="s">
        <v>1514</v>
      </c>
      <c r="E8" s="7" t="s">
        <v>1515</v>
      </c>
      <c r="F8" s="7" t="s">
        <v>703</v>
      </c>
      <c r="G8" s="7" t="s">
        <v>1516</v>
      </c>
      <c r="H8" s="7" t="s">
        <v>703</v>
      </c>
    </row>
    <row r="9" spans="1:8" ht="45">
      <c r="A9" s="7" t="s">
        <v>838</v>
      </c>
      <c r="B9" s="7" t="s">
        <v>1517</v>
      </c>
      <c r="C9" s="7" t="s">
        <v>1518</v>
      </c>
      <c r="D9" s="7" t="s">
        <v>1519</v>
      </c>
      <c r="E9" s="7" t="s">
        <v>1520</v>
      </c>
      <c r="F9" s="7" t="s">
        <v>703</v>
      </c>
      <c r="G9" s="7" t="s">
        <v>1521</v>
      </c>
      <c r="H9" s="7" t="s">
        <v>703</v>
      </c>
    </row>
    <row r="10" spans="1:8" ht="45">
      <c r="A10" s="7" t="s">
        <v>838</v>
      </c>
      <c r="B10" s="7" t="s">
        <v>1522</v>
      </c>
      <c r="C10" s="7" t="s">
        <v>1523</v>
      </c>
      <c r="D10" s="7" t="s">
        <v>1524</v>
      </c>
      <c r="E10" s="7" t="s">
        <v>1525</v>
      </c>
      <c r="F10" s="7" t="s">
        <v>1112</v>
      </c>
      <c r="G10" s="7" t="s">
        <v>1521</v>
      </c>
      <c r="H10" s="7" t="s">
        <v>703</v>
      </c>
    </row>
    <row r="11" spans="1:8" ht="45">
      <c r="A11" s="7" t="s">
        <v>838</v>
      </c>
      <c r="B11" s="7" t="s">
        <v>1526</v>
      </c>
      <c r="C11" s="7" t="s">
        <v>1527</v>
      </c>
      <c r="D11" s="7" t="s">
        <v>1528</v>
      </c>
      <c r="E11" s="7" t="s">
        <v>1529</v>
      </c>
      <c r="F11" s="7" t="s">
        <v>1112</v>
      </c>
      <c r="G11" s="7" t="s">
        <v>1521</v>
      </c>
      <c r="H11" s="7" t="s">
        <v>703</v>
      </c>
    </row>
    <row r="12" spans="1:8" ht="30">
      <c r="A12" s="7" t="s">
        <v>838</v>
      </c>
      <c r="B12" s="7" t="s">
        <v>1530</v>
      </c>
      <c r="C12" s="7" t="s">
        <v>1531</v>
      </c>
      <c r="D12" s="7" t="s">
        <v>1532</v>
      </c>
      <c r="E12" s="7" t="s">
        <v>1533</v>
      </c>
      <c r="F12" s="7" t="s">
        <v>703</v>
      </c>
      <c r="G12" s="7" t="s">
        <v>1534</v>
      </c>
      <c r="H12" s="7" t="s">
        <v>703</v>
      </c>
    </row>
    <row r="13" spans="1:8" ht="45">
      <c r="A13" s="7" t="s">
        <v>838</v>
      </c>
      <c r="B13" s="7" t="s">
        <v>1535</v>
      </c>
      <c r="C13" s="7" t="s">
        <v>1536</v>
      </c>
      <c r="D13" s="7" t="s">
        <v>1537</v>
      </c>
      <c r="E13" s="7" t="s">
        <v>1538</v>
      </c>
      <c r="F13" s="7" t="s">
        <v>703</v>
      </c>
      <c r="G13" s="7" t="s">
        <v>1539</v>
      </c>
      <c r="H13" s="7" t="s">
        <v>703</v>
      </c>
    </row>
    <row r="14" spans="1:8" ht="60">
      <c r="A14" s="7" t="s">
        <v>838</v>
      </c>
      <c r="B14" s="7" t="s">
        <v>1540</v>
      </c>
      <c r="C14" s="7" t="s">
        <v>1541</v>
      </c>
      <c r="D14" s="7" t="s">
        <v>1542</v>
      </c>
      <c r="E14" s="7" t="s">
        <v>1543</v>
      </c>
      <c r="F14" s="7" t="s">
        <v>703</v>
      </c>
      <c r="G14" s="7" t="s">
        <v>1544</v>
      </c>
      <c r="H14" s="7" t="s">
        <v>703</v>
      </c>
    </row>
    <row r="15" spans="1:8" ht="60">
      <c r="A15" s="7" t="s">
        <v>838</v>
      </c>
      <c r="B15" s="7" t="s">
        <v>1545</v>
      </c>
      <c r="C15" s="7" t="s">
        <v>1546</v>
      </c>
      <c r="D15" s="7" t="s">
        <v>1547</v>
      </c>
      <c r="E15" s="7" t="s">
        <v>1548</v>
      </c>
      <c r="F15" s="7" t="s">
        <v>703</v>
      </c>
      <c r="G15" s="7" t="s">
        <v>1549</v>
      </c>
      <c r="H15" s="7" t="s">
        <v>703</v>
      </c>
    </row>
    <row r="16" spans="1:8" ht="75">
      <c r="A16" s="7" t="s">
        <v>838</v>
      </c>
      <c r="B16" s="7" t="s">
        <v>1550</v>
      </c>
      <c r="C16" s="7" t="s">
        <v>1551</v>
      </c>
      <c r="D16" s="7" t="s">
        <v>1552</v>
      </c>
      <c r="E16" s="7" t="s">
        <v>1553</v>
      </c>
      <c r="F16" s="7" t="s">
        <v>703</v>
      </c>
      <c r="G16" s="7" t="s">
        <v>1554</v>
      </c>
      <c r="H16" s="7" t="s">
        <v>703</v>
      </c>
    </row>
    <row r="17" spans="1:8" ht="45">
      <c r="A17" s="7" t="s">
        <v>838</v>
      </c>
      <c r="B17" s="7" t="s">
        <v>1555</v>
      </c>
      <c r="C17" s="7" t="s">
        <v>1556</v>
      </c>
      <c r="D17" s="7" t="s">
        <v>1557</v>
      </c>
      <c r="E17" s="7" t="s">
        <v>1558</v>
      </c>
      <c r="F17" s="7" t="s">
        <v>1112</v>
      </c>
      <c r="G17" s="7" t="s">
        <v>1559</v>
      </c>
      <c r="H17" s="7" t="s">
        <v>703</v>
      </c>
    </row>
    <row r="18" spans="1:8" ht="60">
      <c r="A18" s="7" t="s">
        <v>838</v>
      </c>
      <c r="B18" s="7" t="s">
        <v>1560</v>
      </c>
      <c r="C18" s="7" t="s">
        <v>1561</v>
      </c>
      <c r="D18" s="7" t="s">
        <v>1562</v>
      </c>
      <c r="E18" s="7" t="s">
        <v>1563</v>
      </c>
      <c r="F18" s="7" t="s">
        <v>703</v>
      </c>
      <c r="G18" s="7" t="s">
        <v>1564</v>
      </c>
      <c r="H18" s="7" t="s">
        <v>703</v>
      </c>
    </row>
    <row r="19" spans="1:8" ht="60">
      <c r="A19" s="7" t="s">
        <v>838</v>
      </c>
      <c r="B19" s="7" t="s">
        <v>1565</v>
      </c>
      <c r="C19" s="7" t="s">
        <v>1566</v>
      </c>
      <c r="D19" s="7" t="s">
        <v>1567</v>
      </c>
      <c r="E19" s="7" t="s">
        <v>1568</v>
      </c>
      <c r="F19" s="7" t="s">
        <v>703</v>
      </c>
      <c r="G19" s="7" t="s">
        <v>1569</v>
      </c>
      <c r="H19" s="7" t="s">
        <v>703</v>
      </c>
    </row>
    <row r="20" spans="1:8" ht="45">
      <c r="A20" s="7" t="s">
        <v>838</v>
      </c>
      <c r="B20" s="7" t="s">
        <v>1570</v>
      </c>
      <c r="C20" s="7" t="s">
        <v>1571</v>
      </c>
      <c r="D20" s="7" t="s">
        <v>1572</v>
      </c>
      <c r="E20" s="7" t="s">
        <v>1573</v>
      </c>
      <c r="F20" s="7" t="s">
        <v>703</v>
      </c>
      <c r="G20" s="7" t="s">
        <v>1569</v>
      </c>
      <c r="H20" s="7" t="s">
        <v>703</v>
      </c>
    </row>
    <row r="21" spans="1:8" ht="60">
      <c r="A21" s="7" t="s">
        <v>838</v>
      </c>
      <c r="B21" s="7" t="s">
        <v>1574</v>
      </c>
      <c r="C21" s="7" t="s">
        <v>1575</v>
      </c>
      <c r="D21" s="7" t="s">
        <v>1576</v>
      </c>
      <c r="E21" s="7" t="s">
        <v>1577</v>
      </c>
      <c r="F21" s="7" t="s">
        <v>1112</v>
      </c>
      <c r="G21" s="7" t="s">
        <v>1578</v>
      </c>
      <c r="H21" s="7" t="s">
        <v>703</v>
      </c>
    </row>
    <row r="22" spans="1:8" ht="45">
      <c r="A22" s="7" t="s">
        <v>838</v>
      </c>
      <c r="B22" s="7" t="s">
        <v>866</v>
      </c>
      <c r="C22" s="7" t="s">
        <v>1579</v>
      </c>
      <c r="D22" s="7" t="s">
        <v>1580</v>
      </c>
      <c r="E22" s="7" t="s">
        <v>1581</v>
      </c>
      <c r="F22" s="7" t="s">
        <v>703</v>
      </c>
      <c r="G22" s="7" t="s">
        <v>1582</v>
      </c>
      <c r="H22" s="7" t="s">
        <v>703</v>
      </c>
    </row>
    <row r="23" spans="1:8" ht="60">
      <c r="A23" s="7" t="s">
        <v>838</v>
      </c>
      <c r="B23" s="7" t="s">
        <v>1583</v>
      </c>
      <c r="C23" s="7" t="s">
        <v>1584</v>
      </c>
      <c r="D23" s="7" t="s">
        <v>1585</v>
      </c>
      <c r="E23" s="7" t="s">
        <v>1586</v>
      </c>
      <c r="F23" s="7" t="s">
        <v>1112</v>
      </c>
      <c r="G23" s="7" t="s">
        <v>1582</v>
      </c>
      <c r="H23" s="7" t="s">
        <v>703</v>
      </c>
    </row>
    <row r="24" spans="1:8" ht="60">
      <c r="A24" s="7" t="s">
        <v>838</v>
      </c>
      <c r="B24" s="7" t="s">
        <v>1587</v>
      </c>
      <c r="C24" s="7" t="s">
        <v>1588</v>
      </c>
      <c r="D24" s="7" t="s">
        <v>1589</v>
      </c>
      <c r="E24" s="7" t="s">
        <v>1590</v>
      </c>
      <c r="F24" s="7" t="s">
        <v>1112</v>
      </c>
      <c r="G24" s="7" t="s">
        <v>1591</v>
      </c>
      <c r="H24" s="7" t="s">
        <v>703</v>
      </c>
    </row>
    <row r="25" spans="1:8" ht="45">
      <c r="A25" s="7" t="s">
        <v>838</v>
      </c>
      <c r="B25" s="7" t="s">
        <v>1592</v>
      </c>
      <c r="C25" s="7" t="s">
        <v>1593</v>
      </c>
      <c r="D25" s="7" t="s">
        <v>1594</v>
      </c>
      <c r="E25" s="7" t="s">
        <v>1595</v>
      </c>
      <c r="F25" s="7" t="s">
        <v>703</v>
      </c>
      <c r="G25" s="7" t="s">
        <v>1596</v>
      </c>
      <c r="H25" s="7" t="s">
        <v>703</v>
      </c>
    </row>
    <row r="26" spans="1:8" ht="60">
      <c r="A26" s="7" t="s">
        <v>838</v>
      </c>
      <c r="B26" s="7" t="s">
        <v>1597</v>
      </c>
      <c r="C26" s="7" t="s">
        <v>1598</v>
      </c>
      <c r="D26" s="7" t="s">
        <v>1599</v>
      </c>
      <c r="E26" s="7" t="s">
        <v>1600</v>
      </c>
      <c r="F26" s="7" t="s">
        <v>703</v>
      </c>
      <c r="G26" s="7" t="s">
        <v>1596</v>
      </c>
      <c r="H26" s="7" t="s">
        <v>703</v>
      </c>
    </row>
    <row r="27" spans="1:8" ht="45">
      <c r="A27" s="7" t="s">
        <v>838</v>
      </c>
      <c r="B27" s="7" t="s">
        <v>860</v>
      </c>
      <c r="C27" s="7" t="s">
        <v>1601</v>
      </c>
      <c r="D27" s="7" t="s">
        <v>1602</v>
      </c>
      <c r="E27" s="7" t="s">
        <v>1603</v>
      </c>
      <c r="F27" s="7" t="s">
        <v>1112</v>
      </c>
      <c r="G27" s="7" t="s">
        <v>1596</v>
      </c>
      <c r="H27" s="7" t="s">
        <v>703</v>
      </c>
    </row>
    <row r="28" spans="1:8" ht="45">
      <c r="A28" s="7" t="s">
        <v>838</v>
      </c>
      <c r="B28" s="7" t="s">
        <v>1604</v>
      </c>
      <c r="C28" s="7" t="s">
        <v>1605</v>
      </c>
      <c r="D28" s="7" t="s">
        <v>1606</v>
      </c>
      <c r="E28" s="7" t="s">
        <v>1607</v>
      </c>
      <c r="F28" s="7" t="s">
        <v>703</v>
      </c>
      <c r="G28" s="7" t="s">
        <v>1608</v>
      </c>
      <c r="H28" s="7" t="s">
        <v>703</v>
      </c>
    </row>
    <row r="29" spans="1:8" ht="45">
      <c r="A29" s="7" t="s">
        <v>838</v>
      </c>
      <c r="B29" s="7" t="s">
        <v>1609</v>
      </c>
      <c r="C29" s="7" t="s">
        <v>1610</v>
      </c>
      <c r="D29" s="7" t="s">
        <v>1611</v>
      </c>
      <c r="E29" s="7" t="s">
        <v>1612</v>
      </c>
      <c r="F29" s="7" t="s">
        <v>1112</v>
      </c>
      <c r="G29" s="7" t="s">
        <v>1608</v>
      </c>
      <c r="H29" s="7" t="s">
        <v>703</v>
      </c>
    </row>
    <row r="30" spans="1:8" ht="30">
      <c r="A30" s="7" t="s">
        <v>838</v>
      </c>
      <c r="B30" s="7" t="s">
        <v>1613</v>
      </c>
      <c r="C30" s="7" t="s">
        <v>1614</v>
      </c>
      <c r="D30" s="7" t="s">
        <v>1615</v>
      </c>
      <c r="E30" s="7" t="s">
        <v>1616</v>
      </c>
      <c r="F30" s="7" t="s">
        <v>1112</v>
      </c>
      <c r="G30" s="7" t="s">
        <v>1608</v>
      </c>
      <c r="H30" s="7" t="s">
        <v>703</v>
      </c>
    </row>
    <row r="31" spans="1:8" ht="45">
      <c r="A31" s="7" t="s">
        <v>838</v>
      </c>
      <c r="B31" s="7" t="s">
        <v>842</v>
      </c>
      <c r="C31" s="7" t="s">
        <v>1617</v>
      </c>
      <c r="D31" s="7" t="s">
        <v>1618</v>
      </c>
      <c r="E31" s="7" t="s">
        <v>1619</v>
      </c>
      <c r="F31" s="7" t="s">
        <v>703</v>
      </c>
      <c r="G31" s="7" t="s">
        <v>1620</v>
      </c>
      <c r="H31" s="7" t="s">
        <v>703</v>
      </c>
    </row>
    <row r="32" spans="1:8" ht="75">
      <c r="A32" s="7" t="s">
        <v>892</v>
      </c>
      <c r="B32" s="7" t="s">
        <v>1621</v>
      </c>
      <c r="C32" s="7" t="s">
        <v>1622</v>
      </c>
      <c r="D32" s="7" t="s">
        <v>1623</v>
      </c>
      <c r="E32" s="7" t="s">
        <v>1624</v>
      </c>
      <c r="F32" s="7" t="s">
        <v>703</v>
      </c>
      <c r="G32" s="7" t="s">
        <v>1620</v>
      </c>
      <c r="H32" s="7" t="s">
        <v>703</v>
      </c>
    </row>
    <row r="33" spans="1:8" ht="45">
      <c r="A33" s="7" t="s">
        <v>892</v>
      </c>
      <c r="B33" s="7" t="s">
        <v>1625</v>
      </c>
      <c r="C33" s="7" t="s">
        <v>1626</v>
      </c>
      <c r="D33" s="7" t="s">
        <v>1627</v>
      </c>
      <c r="E33" s="7" t="s">
        <v>1628</v>
      </c>
      <c r="F33" s="7" t="s">
        <v>703</v>
      </c>
      <c r="G33" s="7" t="s">
        <v>1629</v>
      </c>
      <c r="H33" s="7" t="s">
        <v>703</v>
      </c>
    </row>
    <row r="34" spans="1:8" ht="60">
      <c r="A34" s="7" t="s">
        <v>892</v>
      </c>
      <c r="B34" s="7" t="s">
        <v>1630</v>
      </c>
      <c r="C34" s="7" t="s">
        <v>1631</v>
      </c>
      <c r="D34" s="7" t="s">
        <v>1632</v>
      </c>
      <c r="E34" s="7" t="s">
        <v>1633</v>
      </c>
      <c r="F34" s="7" t="s">
        <v>703</v>
      </c>
      <c r="G34" s="7" t="s">
        <v>1634</v>
      </c>
      <c r="H34" s="7" t="s">
        <v>703</v>
      </c>
    </row>
    <row r="35" spans="1:8" ht="45">
      <c r="A35" s="7" t="s">
        <v>892</v>
      </c>
      <c r="B35" s="7" t="s">
        <v>1635</v>
      </c>
      <c r="C35" s="7" t="s">
        <v>1636</v>
      </c>
      <c r="D35" s="7" t="s">
        <v>1637</v>
      </c>
      <c r="E35" s="7" t="s">
        <v>1638</v>
      </c>
      <c r="F35" s="7" t="s">
        <v>1112</v>
      </c>
      <c r="G35" s="7" t="s">
        <v>1639</v>
      </c>
      <c r="H35" s="7" t="s">
        <v>703</v>
      </c>
    </row>
    <row r="36" spans="1:8" ht="30">
      <c r="A36" s="7" t="s">
        <v>741</v>
      </c>
      <c r="B36" s="7" t="s">
        <v>1081</v>
      </c>
      <c r="C36" s="7" t="s">
        <v>1640</v>
      </c>
      <c r="D36" s="7" t="s">
        <v>1641</v>
      </c>
      <c r="E36" s="7" t="s">
        <v>1642</v>
      </c>
      <c r="F36" s="7" t="s">
        <v>703</v>
      </c>
      <c r="G36" s="7" t="s">
        <v>1643</v>
      </c>
      <c r="H36" s="7" t="s">
        <v>703</v>
      </c>
    </row>
    <row r="37" spans="1:8" ht="30">
      <c r="A37" s="7" t="s">
        <v>741</v>
      </c>
      <c r="B37" s="7" t="s">
        <v>1086</v>
      </c>
      <c r="C37" s="7" t="s">
        <v>1644</v>
      </c>
      <c r="D37" s="7" t="s">
        <v>1089</v>
      </c>
      <c r="E37" s="7" t="s">
        <v>1645</v>
      </c>
      <c r="F37" s="7" t="s">
        <v>703</v>
      </c>
      <c r="G37" s="7" t="s">
        <v>1646</v>
      </c>
      <c r="H37" s="7" t="s">
        <v>703</v>
      </c>
    </row>
    <row r="38" spans="1:8" ht="30">
      <c r="A38" s="7" t="s">
        <v>741</v>
      </c>
      <c r="B38" s="7" t="s">
        <v>742</v>
      </c>
      <c r="C38" s="7" t="s">
        <v>1647</v>
      </c>
      <c r="D38" s="7" t="s">
        <v>1648</v>
      </c>
      <c r="E38" s="7" t="s">
        <v>1649</v>
      </c>
      <c r="F38" s="7" t="s">
        <v>703</v>
      </c>
      <c r="G38" s="7" t="s">
        <v>1650</v>
      </c>
      <c r="H38" s="7" t="s">
        <v>703</v>
      </c>
    </row>
    <row r="39" spans="1:8" ht="45">
      <c r="A39" s="7" t="s">
        <v>741</v>
      </c>
      <c r="B39" s="7" t="s">
        <v>1651</v>
      </c>
      <c r="C39" s="7" t="s">
        <v>1652</v>
      </c>
      <c r="D39" s="7" t="s">
        <v>1653</v>
      </c>
      <c r="E39" s="7" t="s">
        <v>1654</v>
      </c>
      <c r="F39" s="7" t="s">
        <v>703</v>
      </c>
      <c r="G39" s="7" t="s">
        <v>1655</v>
      </c>
      <c r="H39" s="7" t="s">
        <v>703</v>
      </c>
    </row>
    <row r="40" spans="1:8" ht="45">
      <c r="A40" s="7" t="s">
        <v>741</v>
      </c>
      <c r="B40" s="7" t="s">
        <v>1656</v>
      </c>
      <c r="C40" s="7" t="s">
        <v>1657</v>
      </c>
      <c r="D40" s="7" t="s">
        <v>1658</v>
      </c>
      <c r="E40" s="7" t="s">
        <v>1134</v>
      </c>
      <c r="F40" s="7" t="s">
        <v>703</v>
      </c>
      <c r="G40" s="7" t="s">
        <v>1659</v>
      </c>
      <c r="H40" s="7" t="s">
        <v>703</v>
      </c>
    </row>
    <row r="41" spans="1:8" ht="30">
      <c r="A41" s="7" t="s">
        <v>741</v>
      </c>
      <c r="B41" s="7" t="s">
        <v>1135</v>
      </c>
      <c r="C41" s="7" t="s">
        <v>1660</v>
      </c>
      <c r="D41" s="7" t="s">
        <v>1661</v>
      </c>
      <c r="E41" s="7" t="s">
        <v>1662</v>
      </c>
      <c r="F41" s="7" t="s">
        <v>703</v>
      </c>
      <c r="G41" s="7" t="s">
        <v>1663</v>
      </c>
      <c r="H41" s="7" t="s">
        <v>703</v>
      </c>
    </row>
    <row r="42" spans="1:8" ht="30">
      <c r="A42" s="7" t="s">
        <v>741</v>
      </c>
      <c r="B42" s="7" t="s">
        <v>1139</v>
      </c>
      <c r="C42" s="7" t="s">
        <v>1664</v>
      </c>
      <c r="D42" s="7" t="s">
        <v>1665</v>
      </c>
      <c r="E42" s="7" t="s">
        <v>1142</v>
      </c>
      <c r="F42" s="7" t="s">
        <v>703</v>
      </c>
      <c r="G42" s="7" t="s">
        <v>1659</v>
      </c>
      <c r="H42" s="7" t="s">
        <v>703</v>
      </c>
    </row>
    <row r="43" spans="1:8" ht="30">
      <c r="A43" s="7" t="s">
        <v>741</v>
      </c>
      <c r="B43" s="7" t="s">
        <v>920</v>
      </c>
      <c r="C43" s="7" t="s">
        <v>1666</v>
      </c>
      <c r="D43" s="7" t="s">
        <v>1667</v>
      </c>
      <c r="E43" s="7" t="s">
        <v>1668</v>
      </c>
      <c r="F43" s="7" t="s">
        <v>703</v>
      </c>
      <c r="G43" s="7" t="s">
        <v>1669</v>
      </c>
      <c r="H43" s="7" t="s">
        <v>703</v>
      </c>
    </row>
    <row r="44" spans="1:8" ht="30">
      <c r="A44" s="7" t="s">
        <v>741</v>
      </c>
      <c r="B44" s="7" t="s">
        <v>922</v>
      </c>
      <c r="C44" s="7" t="s">
        <v>1670</v>
      </c>
      <c r="D44" s="7" t="s">
        <v>1671</v>
      </c>
      <c r="E44" s="7" t="s">
        <v>1672</v>
      </c>
      <c r="F44" s="7" t="s">
        <v>703</v>
      </c>
      <c r="G44" s="7" t="s">
        <v>1673</v>
      </c>
      <c r="H44" s="7" t="s">
        <v>703</v>
      </c>
    </row>
    <row r="45" spans="1:8" ht="30">
      <c r="A45" s="7" t="s">
        <v>741</v>
      </c>
      <c r="B45" s="7" t="s">
        <v>921</v>
      </c>
      <c r="C45" s="7" t="s">
        <v>1674</v>
      </c>
      <c r="D45" s="7" t="s">
        <v>1675</v>
      </c>
      <c r="E45" s="7" t="s">
        <v>1676</v>
      </c>
      <c r="F45" s="7" t="s">
        <v>703</v>
      </c>
      <c r="G45" s="7" t="s">
        <v>1659</v>
      </c>
      <c r="H45" s="7" t="s">
        <v>703</v>
      </c>
    </row>
    <row r="46" spans="1:8" ht="30">
      <c r="A46" s="7" t="s">
        <v>741</v>
      </c>
      <c r="B46" s="7" t="s">
        <v>923</v>
      </c>
      <c r="C46" s="7" t="s">
        <v>1677</v>
      </c>
      <c r="D46" s="7" t="s">
        <v>1678</v>
      </c>
      <c r="E46" s="7" t="s">
        <v>1679</v>
      </c>
      <c r="F46" s="7" t="s">
        <v>703</v>
      </c>
      <c r="G46" s="7" t="s">
        <v>1659</v>
      </c>
      <c r="H46" s="7" t="s">
        <v>703</v>
      </c>
    </row>
    <row r="47" spans="1:8" ht="30">
      <c r="A47" s="7" t="s">
        <v>741</v>
      </c>
      <c r="B47" s="7" t="s">
        <v>758</v>
      </c>
      <c r="C47" s="7" t="s">
        <v>1680</v>
      </c>
      <c r="D47" s="7" t="s">
        <v>1681</v>
      </c>
      <c r="E47" s="7" t="s">
        <v>1682</v>
      </c>
      <c r="F47" s="7" t="s">
        <v>1112</v>
      </c>
      <c r="G47" s="7" t="s">
        <v>1683</v>
      </c>
      <c r="H47" s="7" t="s">
        <v>703</v>
      </c>
    </row>
    <row r="48" spans="1:8" ht="45">
      <c r="A48" s="7" t="s">
        <v>741</v>
      </c>
      <c r="B48" s="7" t="s">
        <v>1684</v>
      </c>
      <c r="C48" s="7" t="s">
        <v>1685</v>
      </c>
      <c r="D48" s="7" t="s">
        <v>1686</v>
      </c>
      <c r="E48" s="7" t="s">
        <v>1687</v>
      </c>
      <c r="F48" s="7" t="s">
        <v>703</v>
      </c>
      <c r="G48" s="7" t="s">
        <v>1688</v>
      </c>
      <c r="H48" s="7" t="s">
        <v>703</v>
      </c>
    </row>
    <row r="49" spans="1:8" ht="30">
      <c r="A49" s="7" t="s">
        <v>741</v>
      </c>
      <c r="B49" s="7" t="s">
        <v>754</v>
      </c>
      <c r="C49" s="7" t="s">
        <v>1689</v>
      </c>
      <c r="D49" s="7" t="s">
        <v>1690</v>
      </c>
      <c r="E49" s="7" t="s">
        <v>1108</v>
      </c>
      <c r="F49" s="7" t="s">
        <v>703</v>
      </c>
      <c r="G49" s="7" t="s">
        <v>1691</v>
      </c>
      <c r="H49" s="7" t="s">
        <v>703</v>
      </c>
    </row>
    <row r="50" spans="1:8" ht="45">
      <c r="A50" s="7" t="s">
        <v>741</v>
      </c>
      <c r="B50" s="7" t="s">
        <v>1692</v>
      </c>
      <c r="C50" s="7" t="s">
        <v>1693</v>
      </c>
      <c r="D50" s="7" t="s">
        <v>1694</v>
      </c>
      <c r="E50" s="7" t="s">
        <v>1695</v>
      </c>
      <c r="F50" s="7" t="s">
        <v>703</v>
      </c>
      <c r="G50" s="7" t="s">
        <v>1696</v>
      </c>
      <c r="H50" s="7" t="s">
        <v>703</v>
      </c>
    </row>
    <row r="51" spans="1:8" ht="30">
      <c r="A51" s="7" t="s">
        <v>741</v>
      </c>
      <c r="B51" s="7" t="s">
        <v>935</v>
      </c>
      <c r="C51" s="7" t="s">
        <v>1697</v>
      </c>
      <c r="D51" s="7" t="s">
        <v>1698</v>
      </c>
      <c r="E51" s="7" t="s">
        <v>1699</v>
      </c>
      <c r="F51" s="7" t="s">
        <v>703</v>
      </c>
      <c r="G51" s="7" t="s">
        <v>1700</v>
      </c>
      <c r="H51" s="7" t="s">
        <v>703</v>
      </c>
    </row>
    <row r="52" spans="1:8" ht="45">
      <c r="A52" s="7" t="s">
        <v>741</v>
      </c>
      <c r="B52" s="7" t="s">
        <v>1701</v>
      </c>
      <c r="C52" s="7" t="s">
        <v>1702</v>
      </c>
      <c r="D52" s="7" t="s">
        <v>1703</v>
      </c>
      <c r="E52" s="7" t="s">
        <v>1704</v>
      </c>
      <c r="F52" s="7" t="s">
        <v>1112</v>
      </c>
      <c r="G52" s="7" t="s">
        <v>1705</v>
      </c>
      <c r="H52" s="7" t="s">
        <v>703</v>
      </c>
    </row>
    <row r="53" spans="1:8" ht="30">
      <c r="A53" s="7" t="s">
        <v>741</v>
      </c>
      <c r="B53" s="7" t="s">
        <v>1124</v>
      </c>
      <c r="C53" s="7" t="s">
        <v>1706</v>
      </c>
      <c r="D53" s="7" t="s">
        <v>1707</v>
      </c>
      <c r="E53" s="7" t="s">
        <v>1708</v>
      </c>
      <c r="F53" s="7" t="s">
        <v>1112</v>
      </c>
      <c r="G53" s="7" t="s">
        <v>1705</v>
      </c>
      <c r="H53" s="7" t="s">
        <v>703</v>
      </c>
    </row>
    <row r="54" spans="1:8" ht="45">
      <c r="A54" s="7" t="s">
        <v>741</v>
      </c>
      <c r="B54" s="7" t="s">
        <v>942</v>
      </c>
      <c r="C54" s="7" t="s">
        <v>1709</v>
      </c>
      <c r="D54" s="7" t="s">
        <v>1710</v>
      </c>
      <c r="E54" s="7" t="s">
        <v>1711</v>
      </c>
      <c r="F54" s="7" t="s">
        <v>703</v>
      </c>
      <c r="G54" s="7" t="s">
        <v>1712</v>
      </c>
      <c r="H54" s="7" t="s">
        <v>703</v>
      </c>
    </row>
    <row r="55" spans="1:8" ht="45">
      <c r="A55" s="7" t="s">
        <v>741</v>
      </c>
      <c r="B55" s="7" t="s">
        <v>1713</v>
      </c>
      <c r="C55" s="7" t="s">
        <v>1714</v>
      </c>
      <c r="D55" s="7" t="s">
        <v>1715</v>
      </c>
      <c r="E55" s="7" t="s">
        <v>1716</v>
      </c>
      <c r="F55" s="7" t="s">
        <v>1112</v>
      </c>
      <c r="G55" s="7" t="s">
        <v>1717</v>
      </c>
      <c r="H55" s="7" t="s">
        <v>703</v>
      </c>
    </row>
    <row r="56" spans="1:8" ht="45">
      <c r="A56" s="7" t="s">
        <v>741</v>
      </c>
      <c r="B56" s="7" t="s">
        <v>1718</v>
      </c>
      <c r="C56" s="7" t="s">
        <v>1719</v>
      </c>
      <c r="D56" s="7" t="s">
        <v>1720</v>
      </c>
      <c r="E56" s="7" t="s">
        <v>1721</v>
      </c>
      <c r="F56" s="7" t="s">
        <v>1112</v>
      </c>
      <c r="G56" s="7" t="s">
        <v>1722</v>
      </c>
      <c r="H56" s="7" t="s">
        <v>703</v>
      </c>
    </row>
    <row r="57" spans="1:8" ht="30">
      <c r="A57" s="7" t="s">
        <v>741</v>
      </c>
      <c r="B57" s="7" t="s">
        <v>1723</v>
      </c>
      <c r="C57" s="7" t="s">
        <v>1724</v>
      </c>
      <c r="D57" s="7" t="s">
        <v>1725</v>
      </c>
      <c r="E57" s="7" t="s">
        <v>1726</v>
      </c>
      <c r="F57" s="7" t="s">
        <v>1112</v>
      </c>
      <c r="G57" s="7" t="s">
        <v>1727</v>
      </c>
      <c r="H57" s="7" t="s">
        <v>703</v>
      </c>
    </row>
    <row r="58" spans="1:8" ht="45">
      <c r="A58" s="7" t="s">
        <v>741</v>
      </c>
      <c r="B58" s="7" t="s">
        <v>1728</v>
      </c>
      <c r="C58" s="7" t="s">
        <v>1729</v>
      </c>
      <c r="D58" s="7" t="s">
        <v>1730</v>
      </c>
      <c r="E58" s="7" t="s">
        <v>1731</v>
      </c>
      <c r="F58" s="7" t="s">
        <v>703</v>
      </c>
      <c r="G58" s="7" t="s">
        <v>1732</v>
      </c>
      <c r="H58" s="7" t="s">
        <v>703</v>
      </c>
    </row>
    <row r="59" spans="1:8" ht="30">
      <c r="A59" s="7" t="s">
        <v>741</v>
      </c>
      <c r="B59" s="7" t="s">
        <v>1733</v>
      </c>
      <c r="C59" s="7" t="s">
        <v>1734</v>
      </c>
      <c r="D59" s="7" t="s">
        <v>1735</v>
      </c>
      <c r="E59" s="7" t="s">
        <v>1736</v>
      </c>
      <c r="F59" s="7" t="s">
        <v>1112</v>
      </c>
      <c r="G59" s="7" t="s">
        <v>1737</v>
      </c>
      <c r="H59" s="7" t="s">
        <v>703</v>
      </c>
    </row>
    <row r="60" spans="1:8" ht="30">
      <c r="A60" s="7" t="s">
        <v>741</v>
      </c>
      <c r="B60" s="7" t="s">
        <v>1738</v>
      </c>
      <c r="C60" s="7" t="s">
        <v>1739</v>
      </c>
      <c r="D60" s="7" t="s">
        <v>1740</v>
      </c>
      <c r="E60" s="7" t="s">
        <v>1741</v>
      </c>
      <c r="F60" s="7" t="s">
        <v>1112</v>
      </c>
      <c r="G60" s="7" t="s">
        <v>1742</v>
      </c>
      <c r="H60" s="7" t="s">
        <v>703</v>
      </c>
    </row>
    <row r="61" spans="1:8" ht="30">
      <c r="A61" s="7" t="s">
        <v>741</v>
      </c>
      <c r="B61" s="7" t="s">
        <v>947</v>
      </c>
      <c r="C61" s="7" t="s">
        <v>1743</v>
      </c>
      <c r="D61" s="7" t="s">
        <v>1744</v>
      </c>
      <c r="E61" s="7" t="s">
        <v>1745</v>
      </c>
      <c r="F61" s="7" t="s">
        <v>703</v>
      </c>
      <c r="G61" s="7" t="s">
        <v>1746</v>
      </c>
      <c r="H61" s="7" t="s">
        <v>703</v>
      </c>
    </row>
    <row r="62" spans="1:8" ht="30">
      <c r="A62" s="7" t="s">
        <v>741</v>
      </c>
      <c r="B62" s="7" t="s">
        <v>948</v>
      </c>
      <c r="C62" s="7" t="s">
        <v>1747</v>
      </c>
      <c r="D62" s="7" t="s">
        <v>1748</v>
      </c>
      <c r="E62" s="7" t="s">
        <v>1749</v>
      </c>
      <c r="F62" s="7" t="s">
        <v>703</v>
      </c>
      <c r="G62" s="7" t="s">
        <v>1750</v>
      </c>
      <c r="H62" s="7" t="s">
        <v>703</v>
      </c>
    </row>
    <row r="63" spans="1:8" ht="45">
      <c r="A63" s="7" t="s">
        <v>741</v>
      </c>
      <c r="B63" s="7" t="s">
        <v>763</v>
      </c>
      <c r="C63" s="7" t="s">
        <v>1751</v>
      </c>
      <c r="D63" s="7" t="s">
        <v>1752</v>
      </c>
      <c r="E63" s="7" t="s">
        <v>1753</v>
      </c>
      <c r="F63" s="7" t="s">
        <v>703</v>
      </c>
      <c r="G63" s="7" t="s">
        <v>1754</v>
      </c>
      <c r="H63" s="7" t="s">
        <v>703</v>
      </c>
    </row>
    <row r="64" spans="1:8" ht="45">
      <c r="A64" s="7" t="s">
        <v>741</v>
      </c>
      <c r="B64" s="7" t="s">
        <v>1755</v>
      </c>
      <c r="C64" s="7" t="s">
        <v>1756</v>
      </c>
      <c r="D64" s="7" t="s">
        <v>1757</v>
      </c>
      <c r="E64" s="7" t="s">
        <v>1758</v>
      </c>
      <c r="F64" s="7" t="s">
        <v>703</v>
      </c>
      <c r="G64" s="7" t="s">
        <v>1759</v>
      </c>
      <c r="H64" s="7" t="s">
        <v>703</v>
      </c>
    </row>
    <row r="65" spans="1:8" ht="45">
      <c r="A65" s="7" t="s">
        <v>741</v>
      </c>
      <c r="B65" s="7" t="s">
        <v>941</v>
      </c>
      <c r="C65" s="7" t="s">
        <v>1760</v>
      </c>
      <c r="D65" s="7" t="s">
        <v>1761</v>
      </c>
      <c r="E65" s="7" t="s">
        <v>1762</v>
      </c>
      <c r="F65" s="7" t="s">
        <v>703</v>
      </c>
      <c r="G65" s="7" t="s">
        <v>1759</v>
      </c>
      <c r="H65" s="7" t="s">
        <v>703</v>
      </c>
    </row>
    <row r="66" spans="1:8" ht="45">
      <c r="A66" s="7" t="s">
        <v>741</v>
      </c>
      <c r="B66" s="7" t="s">
        <v>1763</v>
      </c>
      <c r="C66" s="7" t="s">
        <v>1764</v>
      </c>
      <c r="D66" s="7" t="s">
        <v>1765</v>
      </c>
      <c r="E66" s="7" t="s">
        <v>1766</v>
      </c>
      <c r="F66" s="7" t="s">
        <v>703</v>
      </c>
      <c r="G66" s="7" t="s">
        <v>1767</v>
      </c>
      <c r="H66" s="7" t="s">
        <v>703</v>
      </c>
    </row>
    <row r="67" spans="1:8" ht="45">
      <c r="A67" s="7" t="s">
        <v>741</v>
      </c>
      <c r="B67" s="7" t="s">
        <v>1768</v>
      </c>
      <c r="C67" s="7" t="s">
        <v>1769</v>
      </c>
      <c r="D67" s="7" t="s">
        <v>1770</v>
      </c>
      <c r="E67" s="7" t="s">
        <v>1771</v>
      </c>
      <c r="F67" s="7" t="s">
        <v>703</v>
      </c>
      <c r="G67" s="7" t="s">
        <v>1772</v>
      </c>
      <c r="H67" s="7" t="s">
        <v>703</v>
      </c>
    </row>
    <row r="68" spans="1:8" ht="75">
      <c r="A68" s="7" t="s">
        <v>741</v>
      </c>
      <c r="B68" s="7" t="s">
        <v>1773</v>
      </c>
      <c r="C68" s="7" t="s">
        <v>1774</v>
      </c>
      <c r="D68" s="7" t="s">
        <v>1775</v>
      </c>
      <c r="E68" s="7" t="s">
        <v>1776</v>
      </c>
      <c r="F68" s="7" t="s">
        <v>703</v>
      </c>
      <c r="G68" s="7" t="s">
        <v>1777</v>
      </c>
      <c r="H68" s="7" t="s">
        <v>703</v>
      </c>
    </row>
    <row r="69" spans="1:8" ht="45">
      <c r="A69" s="7" t="s">
        <v>741</v>
      </c>
      <c r="B69" s="7" t="s">
        <v>1778</v>
      </c>
      <c r="C69" s="7" t="s">
        <v>1779</v>
      </c>
      <c r="D69" s="7" t="s">
        <v>1780</v>
      </c>
      <c r="E69" s="7" t="s">
        <v>1781</v>
      </c>
      <c r="F69" s="7" t="s">
        <v>703</v>
      </c>
      <c r="G69" s="7" t="s">
        <v>1782</v>
      </c>
      <c r="H69" s="7" t="s">
        <v>703</v>
      </c>
    </row>
    <row r="70" spans="1:8" ht="60">
      <c r="A70" s="7" t="s">
        <v>741</v>
      </c>
      <c r="B70" s="7" t="s">
        <v>1783</v>
      </c>
      <c r="C70" s="7" t="s">
        <v>1784</v>
      </c>
      <c r="D70" s="7" t="s">
        <v>1785</v>
      </c>
      <c r="E70" s="7" t="s">
        <v>1786</v>
      </c>
      <c r="F70" s="7" t="s">
        <v>703</v>
      </c>
      <c r="G70" s="7" t="s">
        <v>1787</v>
      </c>
      <c r="H70" s="7" t="s">
        <v>703</v>
      </c>
    </row>
    <row r="71" spans="1:8" ht="45">
      <c r="A71" s="7" t="s">
        <v>741</v>
      </c>
      <c r="B71" s="7" t="s">
        <v>1788</v>
      </c>
      <c r="C71" s="7" t="s">
        <v>1789</v>
      </c>
      <c r="D71" s="7" t="s">
        <v>1790</v>
      </c>
      <c r="E71" s="7" t="s">
        <v>1791</v>
      </c>
      <c r="F71" s="7" t="s">
        <v>1112</v>
      </c>
      <c r="G71" s="7" t="s">
        <v>1792</v>
      </c>
      <c r="H71" s="7" t="s">
        <v>703</v>
      </c>
    </row>
    <row r="72" spans="1:8" ht="45">
      <c r="A72" s="7" t="s">
        <v>741</v>
      </c>
      <c r="B72" s="7" t="s">
        <v>1793</v>
      </c>
      <c r="C72" s="7" t="s">
        <v>1794</v>
      </c>
      <c r="D72" s="7" t="s">
        <v>1795</v>
      </c>
      <c r="E72" s="7" t="s">
        <v>1796</v>
      </c>
      <c r="F72" s="7" t="s">
        <v>703</v>
      </c>
      <c r="G72" s="7" t="s">
        <v>1797</v>
      </c>
      <c r="H72" s="7" t="s">
        <v>703</v>
      </c>
    </row>
    <row r="73" spans="1:8" ht="45">
      <c r="A73" s="7" t="s">
        <v>741</v>
      </c>
      <c r="B73" s="7" t="s">
        <v>1798</v>
      </c>
      <c r="C73" s="7" t="s">
        <v>1799</v>
      </c>
      <c r="D73" s="7" t="s">
        <v>1800</v>
      </c>
      <c r="E73" s="7" t="s">
        <v>1801</v>
      </c>
      <c r="F73" s="7" t="s">
        <v>1112</v>
      </c>
      <c r="G73" s="7" t="s">
        <v>1802</v>
      </c>
      <c r="H73" s="7" t="s">
        <v>703</v>
      </c>
    </row>
    <row r="74" spans="1:8" ht="45">
      <c r="A74" s="7" t="s">
        <v>984</v>
      </c>
      <c r="B74" s="7" t="s">
        <v>1803</v>
      </c>
      <c r="C74" s="7" t="s">
        <v>1804</v>
      </c>
      <c r="D74" s="7" t="s">
        <v>1805</v>
      </c>
      <c r="E74" s="7" t="s">
        <v>1806</v>
      </c>
      <c r="F74" s="7" t="s">
        <v>703</v>
      </c>
      <c r="G74" s="7" t="s">
        <v>1807</v>
      </c>
      <c r="H74" s="7" t="s">
        <v>703</v>
      </c>
    </row>
    <row r="75" spans="1:8" ht="45">
      <c r="A75" s="7" t="s">
        <v>984</v>
      </c>
      <c r="B75" s="7" t="s">
        <v>1808</v>
      </c>
      <c r="C75" s="7" t="s">
        <v>1809</v>
      </c>
      <c r="D75" s="7" t="s">
        <v>1810</v>
      </c>
      <c r="E75" s="7" t="s">
        <v>1811</v>
      </c>
      <c r="F75" s="7" t="s">
        <v>1112</v>
      </c>
      <c r="G75" s="7" t="s">
        <v>1812</v>
      </c>
      <c r="H75" s="7" t="s">
        <v>703</v>
      </c>
    </row>
    <row r="76" spans="1:8" ht="30">
      <c r="A76" s="7" t="s">
        <v>984</v>
      </c>
      <c r="B76" s="7" t="s">
        <v>1813</v>
      </c>
      <c r="C76" s="7" t="s">
        <v>1814</v>
      </c>
      <c r="D76" s="7" t="s">
        <v>1815</v>
      </c>
      <c r="E76" s="7" t="s">
        <v>1816</v>
      </c>
      <c r="F76" s="7" t="s">
        <v>1112</v>
      </c>
      <c r="G76" s="7" t="s">
        <v>1817</v>
      </c>
      <c r="H76" s="7" t="s">
        <v>703</v>
      </c>
    </row>
    <row r="77" spans="1:8" ht="45">
      <c r="A77" s="7" t="s">
        <v>984</v>
      </c>
      <c r="B77" s="7" t="s">
        <v>1818</v>
      </c>
      <c r="C77" s="7" t="s">
        <v>1819</v>
      </c>
      <c r="D77" s="7" t="s">
        <v>1820</v>
      </c>
      <c r="E77" s="7" t="s">
        <v>1821</v>
      </c>
      <c r="F77" s="7" t="s">
        <v>1112</v>
      </c>
      <c r="G77" s="7" t="s">
        <v>1817</v>
      </c>
      <c r="H77" s="7" t="s">
        <v>703</v>
      </c>
    </row>
    <row r="78" spans="1:8" ht="30">
      <c r="A78" s="7" t="s">
        <v>984</v>
      </c>
      <c r="B78" s="7" t="s">
        <v>1822</v>
      </c>
      <c r="C78" s="7" t="s">
        <v>1823</v>
      </c>
      <c r="D78" s="7" t="s">
        <v>1824</v>
      </c>
      <c r="E78" s="7" t="s">
        <v>1825</v>
      </c>
      <c r="F78" s="7" t="s">
        <v>1112</v>
      </c>
      <c r="G78" s="7" t="s">
        <v>1817</v>
      </c>
      <c r="H78" s="7" t="s">
        <v>703</v>
      </c>
    </row>
    <row r="79" spans="1:8" ht="30">
      <c r="A79" s="7" t="s">
        <v>984</v>
      </c>
      <c r="B79" s="7" t="s">
        <v>1826</v>
      </c>
      <c r="C79" s="7" t="s">
        <v>1827</v>
      </c>
      <c r="D79" s="7" t="s">
        <v>1828</v>
      </c>
      <c r="E79" s="7" t="s">
        <v>1829</v>
      </c>
      <c r="F79" s="7" t="s">
        <v>703</v>
      </c>
      <c r="G79" s="7" t="s">
        <v>1830</v>
      </c>
      <c r="H79" s="7" t="s">
        <v>703</v>
      </c>
    </row>
    <row r="80" spans="1:8" ht="30">
      <c r="A80" s="7" t="s">
        <v>984</v>
      </c>
      <c r="B80" s="7" t="s">
        <v>1831</v>
      </c>
      <c r="C80" s="7" t="s">
        <v>1832</v>
      </c>
      <c r="D80" s="7" t="s">
        <v>1833</v>
      </c>
      <c r="E80" s="7" t="s">
        <v>1834</v>
      </c>
      <c r="F80" s="7" t="s">
        <v>703</v>
      </c>
      <c r="G80" s="7" t="s">
        <v>1835</v>
      </c>
      <c r="H80" s="7" t="s">
        <v>703</v>
      </c>
    </row>
    <row r="81" spans="1:8" ht="45">
      <c r="A81" s="7" t="s">
        <v>984</v>
      </c>
      <c r="B81" s="7" t="s">
        <v>1836</v>
      </c>
      <c r="C81" s="7" t="s">
        <v>1837</v>
      </c>
      <c r="D81" s="7" t="s">
        <v>1838</v>
      </c>
      <c r="E81" s="7" t="s">
        <v>1839</v>
      </c>
      <c r="F81" s="7" t="s">
        <v>703</v>
      </c>
      <c r="G81" s="7" t="s">
        <v>1840</v>
      </c>
      <c r="H81" s="7" t="s">
        <v>703</v>
      </c>
    </row>
    <row r="82" spans="1:8" ht="45">
      <c r="A82" s="7" t="s">
        <v>984</v>
      </c>
      <c r="B82" s="7" t="s">
        <v>1841</v>
      </c>
      <c r="C82" s="7" t="s">
        <v>1842</v>
      </c>
      <c r="D82" s="7" t="s">
        <v>1843</v>
      </c>
      <c r="E82" s="7" t="s">
        <v>1844</v>
      </c>
      <c r="F82" s="7" t="s">
        <v>1112</v>
      </c>
      <c r="G82" s="7" t="s">
        <v>1845</v>
      </c>
      <c r="H82" s="7" t="s">
        <v>703</v>
      </c>
    </row>
    <row r="83" spans="1:8" ht="30">
      <c r="A83" s="7" t="s">
        <v>203</v>
      </c>
      <c r="B83" s="7" t="s">
        <v>1846</v>
      </c>
      <c r="C83" s="7" t="s">
        <v>1847</v>
      </c>
      <c r="D83" s="7" t="s">
        <v>1848</v>
      </c>
      <c r="E83" s="7" t="s">
        <v>1849</v>
      </c>
      <c r="F83" s="7" t="s">
        <v>1300</v>
      </c>
      <c r="G83" s="7" t="s">
        <v>1850</v>
      </c>
      <c r="H83" s="7" t="s">
        <v>703</v>
      </c>
    </row>
    <row r="84" spans="1:8" ht="30">
      <c r="A84" s="7" t="s">
        <v>203</v>
      </c>
      <c r="B84" s="7" t="s">
        <v>1851</v>
      </c>
      <c r="C84" s="7" t="s">
        <v>1852</v>
      </c>
      <c r="D84" s="7" t="s">
        <v>1853</v>
      </c>
      <c r="E84" s="7" t="s">
        <v>1854</v>
      </c>
      <c r="F84" s="7" t="s">
        <v>1112</v>
      </c>
      <c r="G84" s="7" t="s">
        <v>1855</v>
      </c>
      <c r="H84" s="7" t="s">
        <v>703</v>
      </c>
    </row>
    <row r="85" spans="1:8" ht="30">
      <c r="A85" s="7" t="s">
        <v>203</v>
      </c>
      <c r="B85" s="7" t="s">
        <v>1856</v>
      </c>
      <c r="C85" s="7" t="s">
        <v>1857</v>
      </c>
      <c r="D85" s="7" t="s">
        <v>1858</v>
      </c>
      <c r="E85" s="7" t="s">
        <v>1859</v>
      </c>
      <c r="F85" s="7" t="s">
        <v>1300</v>
      </c>
      <c r="G85" s="7" t="s">
        <v>1860</v>
      </c>
      <c r="H85" s="7" t="s">
        <v>703</v>
      </c>
    </row>
    <row r="86" spans="1:8" ht="30">
      <c r="A86" s="7" t="s">
        <v>203</v>
      </c>
      <c r="B86" s="7" t="s">
        <v>1861</v>
      </c>
      <c r="C86" s="7" t="s">
        <v>1862</v>
      </c>
      <c r="D86" s="7" t="s">
        <v>1863</v>
      </c>
      <c r="E86" s="7" t="s">
        <v>1864</v>
      </c>
      <c r="F86" s="7" t="s">
        <v>1300</v>
      </c>
      <c r="G86" s="7" t="s">
        <v>1865</v>
      </c>
      <c r="H86" s="7" t="s">
        <v>703</v>
      </c>
    </row>
    <row r="87" spans="1:8" ht="30">
      <c r="A87" s="7" t="s">
        <v>203</v>
      </c>
      <c r="B87" s="7" t="s">
        <v>1866</v>
      </c>
      <c r="C87" s="7" t="s">
        <v>1867</v>
      </c>
      <c r="D87" s="7" t="s">
        <v>1868</v>
      </c>
      <c r="E87" s="7" t="s">
        <v>1869</v>
      </c>
      <c r="F87" s="7" t="s">
        <v>1300</v>
      </c>
      <c r="G87" s="7" t="s">
        <v>1870</v>
      </c>
      <c r="H87" s="7" t="s">
        <v>703</v>
      </c>
    </row>
    <row r="88" spans="1:8" ht="30">
      <c r="A88" s="7" t="s">
        <v>203</v>
      </c>
      <c r="B88" s="7" t="s">
        <v>1871</v>
      </c>
      <c r="C88" s="7" t="s">
        <v>1872</v>
      </c>
      <c r="D88" s="7" t="s">
        <v>1873</v>
      </c>
      <c r="E88" s="7" t="s">
        <v>1874</v>
      </c>
      <c r="F88" s="7" t="s">
        <v>1300</v>
      </c>
      <c r="G88" s="7" t="s">
        <v>1875</v>
      </c>
      <c r="H88" s="7" t="s">
        <v>703</v>
      </c>
    </row>
    <row r="89" spans="1:8" ht="30">
      <c r="A89" s="7" t="s">
        <v>203</v>
      </c>
      <c r="B89" s="7" t="s">
        <v>1876</v>
      </c>
      <c r="C89" s="7" t="s">
        <v>1877</v>
      </c>
      <c r="D89" s="7" t="s">
        <v>1878</v>
      </c>
      <c r="E89" s="7" t="s">
        <v>1879</v>
      </c>
      <c r="F89" s="7" t="s">
        <v>1300</v>
      </c>
      <c r="G89" s="7" t="s">
        <v>1880</v>
      </c>
      <c r="H89" s="7" t="s">
        <v>703</v>
      </c>
    </row>
    <row r="90" spans="1:8" ht="45">
      <c r="A90" s="7" t="s">
        <v>203</v>
      </c>
      <c r="B90" s="7" t="s">
        <v>1881</v>
      </c>
      <c r="C90" s="7" t="s">
        <v>1882</v>
      </c>
      <c r="D90" s="7" t="s">
        <v>1883</v>
      </c>
      <c r="E90" s="7" t="s">
        <v>1884</v>
      </c>
      <c r="F90" s="7" t="s">
        <v>703</v>
      </c>
      <c r="G90" s="7" t="s">
        <v>1885</v>
      </c>
      <c r="H90" s="7" t="s">
        <v>703</v>
      </c>
    </row>
    <row r="91" spans="1:8" ht="45">
      <c r="A91" s="7" t="s">
        <v>203</v>
      </c>
      <c r="B91" s="7" t="s">
        <v>1886</v>
      </c>
      <c r="C91" s="7" t="s">
        <v>1887</v>
      </c>
      <c r="D91" s="7" t="s">
        <v>1888</v>
      </c>
      <c r="E91" s="7" t="s">
        <v>1889</v>
      </c>
      <c r="F91" s="7" t="s">
        <v>703</v>
      </c>
      <c r="G91" s="7" t="s">
        <v>1890</v>
      </c>
      <c r="H91" s="7" t="s">
        <v>703</v>
      </c>
    </row>
    <row r="92" spans="1:8" ht="30">
      <c r="A92" s="7" t="s">
        <v>203</v>
      </c>
      <c r="B92" s="7" t="s">
        <v>708</v>
      </c>
      <c r="C92" s="7" t="s">
        <v>1891</v>
      </c>
      <c r="D92" s="7" t="s">
        <v>1892</v>
      </c>
      <c r="E92" s="7" t="s">
        <v>1893</v>
      </c>
      <c r="F92" s="7" t="s">
        <v>703</v>
      </c>
      <c r="G92" s="7" t="s">
        <v>1894</v>
      </c>
      <c r="H92" s="7" t="s">
        <v>703</v>
      </c>
    </row>
    <row r="93" spans="1:8" ht="30">
      <c r="A93" s="7" t="s">
        <v>203</v>
      </c>
      <c r="B93" s="7" t="s">
        <v>1895</v>
      </c>
      <c r="C93" s="7" t="s">
        <v>1896</v>
      </c>
      <c r="D93" s="7" t="s">
        <v>1897</v>
      </c>
      <c r="E93" s="7" t="s">
        <v>1898</v>
      </c>
      <c r="F93" s="7" t="s">
        <v>1112</v>
      </c>
      <c r="G93" s="7" t="s">
        <v>1899</v>
      </c>
      <c r="H93" s="7" t="s">
        <v>703</v>
      </c>
    </row>
    <row r="94" spans="1:8" ht="45">
      <c r="A94" s="7" t="s">
        <v>203</v>
      </c>
      <c r="B94" s="7" t="s">
        <v>1900</v>
      </c>
      <c r="C94" s="7" t="s">
        <v>1901</v>
      </c>
      <c r="D94" s="7" t="s">
        <v>1902</v>
      </c>
      <c r="E94" s="7" t="s">
        <v>1903</v>
      </c>
      <c r="F94" s="7" t="s">
        <v>703</v>
      </c>
      <c r="G94" s="7" t="s">
        <v>1904</v>
      </c>
      <c r="H94" s="7" t="s">
        <v>703</v>
      </c>
    </row>
    <row r="95" spans="1:8" ht="30">
      <c r="A95" s="7" t="s">
        <v>203</v>
      </c>
      <c r="B95" s="7" t="s">
        <v>1905</v>
      </c>
      <c r="C95" s="7" t="s">
        <v>1906</v>
      </c>
      <c r="D95" s="7" t="s">
        <v>1907</v>
      </c>
      <c r="E95" s="7" t="s">
        <v>1908</v>
      </c>
      <c r="F95" s="7" t="s">
        <v>703</v>
      </c>
      <c r="G95" s="7" t="s">
        <v>1909</v>
      </c>
      <c r="H95" s="7" t="s">
        <v>703</v>
      </c>
    </row>
    <row r="96" spans="1:8" ht="30">
      <c r="A96" s="7" t="s">
        <v>203</v>
      </c>
      <c r="B96" s="7" t="s">
        <v>1910</v>
      </c>
      <c r="C96" s="7" t="s">
        <v>1911</v>
      </c>
      <c r="D96" s="7" t="s">
        <v>1912</v>
      </c>
      <c r="E96" s="7" t="s">
        <v>1913</v>
      </c>
      <c r="F96" s="7" t="s">
        <v>703</v>
      </c>
      <c r="G96" s="7" t="s">
        <v>1914</v>
      </c>
      <c r="H96" s="7" t="s">
        <v>703</v>
      </c>
    </row>
    <row r="97" spans="1:8" ht="30">
      <c r="A97" s="7" t="s">
        <v>203</v>
      </c>
      <c r="B97" s="7" t="s">
        <v>1915</v>
      </c>
      <c r="C97" s="7" t="s">
        <v>1916</v>
      </c>
      <c r="D97" s="7" t="s">
        <v>1917</v>
      </c>
      <c r="E97" s="7" t="s">
        <v>1918</v>
      </c>
      <c r="F97" s="7" t="s">
        <v>703</v>
      </c>
      <c r="G97" s="7" t="s">
        <v>1914</v>
      </c>
      <c r="H97" s="7" t="s">
        <v>703</v>
      </c>
    </row>
    <row r="98" spans="1:8" ht="30">
      <c r="A98" s="7" t="s">
        <v>203</v>
      </c>
      <c r="B98" s="7" t="s">
        <v>1919</v>
      </c>
      <c r="C98" s="7" t="s">
        <v>1920</v>
      </c>
      <c r="D98" s="7" t="s">
        <v>1921</v>
      </c>
      <c r="E98" s="7" t="s">
        <v>1922</v>
      </c>
      <c r="F98" s="7" t="s">
        <v>703</v>
      </c>
      <c r="G98" s="7" t="s">
        <v>1923</v>
      </c>
      <c r="H98" s="7" t="s">
        <v>703</v>
      </c>
    </row>
    <row r="99" spans="1:8" ht="30">
      <c r="A99" s="7" t="s">
        <v>203</v>
      </c>
      <c r="B99" s="7" t="s">
        <v>1924</v>
      </c>
      <c r="C99" s="7" t="s">
        <v>1925</v>
      </c>
      <c r="D99" s="7" t="s">
        <v>1926</v>
      </c>
      <c r="E99" s="7" t="s">
        <v>1927</v>
      </c>
      <c r="F99" s="7" t="s">
        <v>1112</v>
      </c>
      <c r="G99" s="7" t="s">
        <v>1928</v>
      </c>
      <c r="H99" s="7" t="s">
        <v>703</v>
      </c>
    </row>
    <row r="100" spans="1:8" ht="30">
      <c r="A100" s="7" t="s">
        <v>203</v>
      </c>
      <c r="B100" s="7" t="s">
        <v>1929</v>
      </c>
      <c r="C100" s="7" t="s">
        <v>1930</v>
      </c>
      <c r="D100" s="7" t="s">
        <v>1931</v>
      </c>
      <c r="E100" s="7" t="s">
        <v>1932</v>
      </c>
      <c r="F100" s="7" t="s">
        <v>703</v>
      </c>
      <c r="G100" s="7" t="s">
        <v>1933</v>
      </c>
      <c r="H100" s="7" t="s">
        <v>703</v>
      </c>
    </row>
    <row r="101" spans="1:8" ht="45">
      <c r="A101" s="7" t="s">
        <v>203</v>
      </c>
      <c r="B101" s="7" t="s">
        <v>1934</v>
      </c>
      <c r="C101" s="7" t="s">
        <v>1935</v>
      </c>
      <c r="D101" s="7" t="s">
        <v>1936</v>
      </c>
      <c r="E101" s="7" t="s">
        <v>1937</v>
      </c>
      <c r="F101" s="7" t="s">
        <v>1112</v>
      </c>
      <c r="G101" s="7" t="s">
        <v>1938</v>
      </c>
      <c r="H101" s="7" t="s">
        <v>703</v>
      </c>
    </row>
    <row r="102" spans="1:8" ht="30">
      <c r="A102" s="7" t="s">
        <v>203</v>
      </c>
      <c r="B102" s="7" t="s">
        <v>1939</v>
      </c>
      <c r="C102" s="7" t="s">
        <v>1940</v>
      </c>
      <c r="D102" s="7" t="s">
        <v>1941</v>
      </c>
      <c r="E102" s="7" t="s">
        <v>1942</v>
      </c>
      <c r="F102" s="7" t="s">
        <v>1112</v>
      </c>
      <c r="G102" s="7" t="s">
        <v>1943</v>
      </c>
      <c r="H102" s="7" t="s">
        <v>703</v>
      </c>
    </row>
    <row r="103" spans="1:8" ht="30">
      <c r="A103" s="7" t="s">
        <v>203</v>
      </c>
      <c r="B103" s="7" t="s">
        <v>1944</v>
      </c>
      <c r="C103" s="7" t="s">
        <v>1945</v>
      </c>
      <c r="D103" s="7" t="s">
        <v>1946</v>
      </c>
      <c r="E103" s="7" t="s">
        <v>1947</v>
      </c>
      <c r="F103" s="7" t="s">
        <v>703</v>
      </c>
      <c r="G103" s="7" t="s">
        <v>1943</v>
      </c>
      <c r="H103" s="7" t="s">
        <v>703</v>
      </c>
    </row>
    <row r="104" spans="1:8" ht="45">
      <c r="A104" s="7" t="s">
        <v>203</v>
      </c>
      <c r="B104" s="7" t="s">
        <v>1948</v>
      </c>
      <c r="C104" s="7" t="s">
        <v>1949</v>
      </c>
      <c r="D104" s="7" t="s">
        <v>1950</v>
      </c>
      <c r="E104" s="7" t="s">
        <v>1951</v>
      </c>
      <c r="F104" s="7" t="s">
        <v>703</v>
      </c>
      <c r="G104" s="7" t="s">
        <v>1952</v>
      </c>
      <c r="H104" s="7" t="s">
        <v>703</v>
      </c>
    </row>
    <row r="105" spans="1:8" ht="45">
      <c r="A105" s="7" t="s">
        <v>203</v>
      </c>
      <c r="B105" s="7" t="s">
        <v>1953</v>
      </c>
      <c r="C105" s="7" t="s">
        <v>1954</v>
      </c>
      <c r="D105" s="7" t="s">
        <v>1955</v>
      </c>
      <c r="E105" s="7" t="s">
        <v>1956</v>
      </c>
      <c r="F105" s="7" t="s">
        <v>703</v>
      </c>
      <c r="G105" s="7" t="s">
        <v>1957</v>
      </c>
      <c r="H105" s="7" t="s">
        <v>703</v>
      </c>
    </row>
    <row r="106" spans="1:8" ht="30">
      <c r="A106" s="7" t="s">
        <v>203</v>
      </c>
      <c r="B106" s="7" t="s">
        <v>1958</v>
      </c>
      <c r="C106" s="7" t="s">
        <v>1959</v>
      </c>
      <c r="D106" s="7" t="s">
        <v>1960</v>
      </c>
      <c r="E106" s="7" t="s">
        <v>1961</v>
      </c>
      <c r="F106" s="7" t="s">
        <v>703</v>
      </c>
      <c r="G106" s="7" t="s">
        <v>1962</v>
      </c>
      <c r="H106" s="7" t="s">
        <v>703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9"/>
  <sheetViews>
    <sheetView workbookViewId="0"/>
  </sheetViews>
  <sheetFormatPr defaultRowHeight="15"/>
  <cols>
    <col min="1" max="1" width="6" customWidth="1"/>
    <col min="2" max="2" width="18" customWidth="1"/>
    <col min="3" max="3" width="8" customWidth="1"/>
    <col min="4" max="4" width="45" customWidth="1"/>
    <col min="5" max="8" width="22" customWidth="1"/>
    <col min="9" max="9" width="26" customWidth="1"/>
    <col min="10" max="10" width="42" customWidth="1"/>
    <col min="11" max="11" width="18" customWidth="1"/>
  </cols>
  <sheetData>
    <row r="1" spans="1:11" ht="24" customHeight="1">
      <c r="A1" s="130" t="s">
        <v>43</v>
      </c>
      <c r="B1" s="130" t="s">
        <v>44</v>
      </c>
      <c r="C1" s="130" t="s">
        <v>45</v>
      </c>
      <c r="D1" s="130" t="s">
        <v>46</v>
      </c>
      <c r="E1" s="130" t="s">
        <v>47</v>
      </c>
      <c r="F1" s="130" t="s">
        <v>48</v>
      </c>
      <c r="G1" s="130" t="s">
        <v>49</v>
      </c>
      <c r="H1" s="130" t="s">
        <v>50</v>
      </c>
      <c r="I1" s="130" t="s">
        <v>51</v>
      </c>
      <c r="J1" s="130" t="s">
        <v>52</v>
      </c>
      <c r="K1" s="130" t="s">
        <v>2392</v>
      </c>
    </row>
    <row r="2" spans="1:11" ht="45">
      <c r="A2" s="7">
        <v>1</v>
      </c>
      <c r="B2" s="7" t="s">
        <v>838</v>
      </c>
      <c r="C2" s="7" t="s">
        <v>54</v>
      </c>
      <c r="D2" s="7" t="s">
        <v>839</v>
      </c>
      <c r="E2" s="7" t="s">
        <v>840</v>
      </c>
      <c r="F2" s="7" t="s">
        <v>841</v>
      </c>
      <c r="G2" s="7" t="s">
        <v>842</v>
      </c>
      <c r="H2" s="7" t="s">
        <v>843</v>
      </c>
      <c r="I2" s="7" t="s">
        <v>844</v>
      </c>
      <c r="J2" s="7" t="s">
        <v>845</v>
      </c>
      <c r="K2" s="7" t="s">
        <v>2411</v>
      </c>
    </row>
    <row r="3" spans="1:11" ht="30">
      <c r="A3" s="7">
        <v>2</v>
      </c>
      <c r="B3" s="7" t="s">
        <v>838</v>
      </c>
      <c r="C3" s="7" t="s">
        <v>54</v>
      </c>
      <c r="D3" s="7" t="s">
        <v>846</v>
      </c>
      <c r="E3" s="7" t="s">
        <v>847</v>
      </c>
      <c r="F3" s="7" t="s">
        <v>848</v>
      </c>
      <c r="G3" s="7" t="s">
        <v>849</v>
      </c>
      <c r="H3" s="7" t="s">
        <v>850</v>
      </c>
      <c r="I3" s="7" t="s">
        <v>851</v>
      </c>
      <c r="J3" s="7" t="s">
        <v>852</v>
      </c>
      <c r="K3" s="7" t="s">
        <v>2412</v>
      </c>
    </row>
    <row r="4" spans="1:11" ht="30">
      <c r="A4" s="7">
        <v>3</v>
      </c>
      <c r="B4" s="7" t="s">
        <v>838</v>
      </c>
      <c r="C4" s="7" t="s">
        <v>54</v>
      </c>
      <c r="D4" s="7" t="s">
        <v>853</v>
      </c>
      <c r="E4" s="7" t="s">
        <v>854</v>
      </c>
      <c r="F4" s="7" t="s">
        <v>855</v>
      </c>
      <c r="G4" s="7" t="s">
        <v>848</v>
      </c>
      <c r="H4" s="7" t="s">
        <v>856</v>
      </c>
      <c r="I4" s="7" t="s">
        <v>857</v>
      </c>
      <c r="J4" s="7" t="s">
        <v>858</v>
      </c>
      <c r="K4" s="7" t="s">
        <v>2413</v>
      </c>
    </row>
    <row r="5" spans="1:11" ht="45">
      <c r="A5" s="7">
        <v>4</v>
      </c>
      <c r="B5" s="7" t="s">
        <v>838</v>
      </c>
      <c r="C5" s="7" t="s">
        <v>54</v>
      </c>
      <c r="D5" s="7" t="s">
        <v>859</v>
      </c>
      <c r="E5" s="7" t="s">
        <v>847</v>
      </c>
      <c r="F5" s="7" t="s">
        <v>849</v>
      </c>
      <c r="G5" s="7" t="s">
        <v>860</v>
      </c>
      <c r="H5" s="7" t="s">
        <v>861</v>
      </c>
      <c r="I5" s="7" t="s">
        <v>862</v>
      </c>
      <c r="J5" s="7" t="s">
        <v>863</v>
      </c>
      <c r="K5" s="7" t="s">
        <v>2414</v>
      </c>
    </row>
    <row r="6" spans="1:11" ht="30">
      <c r="A6" s="7">
        <v>5</v>
      </c>
      <c r="B6" s="7" t="s">
        <v>838</v>
      </c>
      <c r="C6" s="7" t="s">
        <v>54</v>
      </c>
      <c r="D6" s="7" t="s">
        <v>864</v>
      </c>
      <c r="E6" s="7" t="s">
        <v>865</v>
      </c>
      <c r="F6" s="7" t="s">
        <v>866</v>
      </c>
      <c r="G6" s="7" t="s">
        <v>867</v>
      </c>
      <c r="H6" s="7" t="s">
        <v>868</v>
      </c>
      <c r="I6" s="7" t="s">
        <v>869</v>
      </c>
      <c r="J6" s="7" t="s">
        <v>870</v>
      </c>
      <c r="K6" s="7" t="s">
        <v>2415</v>
      </c>
    </row>
    <row r="7" spans="1:11" ht="60">
      <c r="A7" s="7">
        <v>6</v>
      </c>
      <c r="B7" s="7" t="s">
        <v>838</v>
      </c>
      <c r="C7" s="7" t="s">
        <v>54</v>
      </c>
      <c r="D7" s="7" t="s">
        <v>871</v>
      </c>
      <c r="E7" s="7" t="s">
        <v>872</v>
      </c>
      <c r="F7" s="7" t="s">
        <v>873</v>
      </c>
      <c r="G7" s="7" t="s">
        <v>874</v>
      </c>
      <c r="H7" s="7" t="s">
        <v>875</v>
      </c>
      <c r="I7" s="7" t="s">
        <v>876</v>
      </c>
      <c r="J7" s="7" t="s">
        <v>877</v>
      </c>
      <c r="K7" s="7" t="s">
        <v>2416</v>
      </c>
    </row>
    <row r="8" spans="1:11" ht="30">
      <c r="A8" s="7">
        <v>7</v>
      </c>
      <c r="B8" s="7" t="s">
        <v>838</v>
      </c>
      <c r="C8" s="7" t="s">
        <v>54</v>
      </c>
      <c r="D8" s="7" t="s">
        <v>878</v>
      </c>
      <c r="E8" s="7" t="s">
        <v>879</v>
      </c>
      <c r="F8" s="7" t="s">
        <v>880</v>
      </c>
      <c r="G8" s="7" t="s">
        <v>881</v>
      </c>
      <c r="H8" s="7" t="s">
        <v>882</v>
      </c>
      <c r="I8" s="7" t="s">
        <v>883</v>
      </c>
      <c r="J8" s="7" t="s">
        <v>884</v>
      </c>
      <c r="K8" s="7" t="s">
        <v>2417</v>
      </c>
    </row>
    <row r="9" spans="1:11" ht="30">
      <c r="A9" s="7">
        <v>8</v>
      </c>
      <c r="B9" s="7" t="s">
        <v>838</v>
      </c>
      <c r="C9" s="7" t="s">
        <v>54</v>
      </c>
      <c r="D9" s="7" t="s">
        <v>885</v>
      </c>
      <c r="E9" s="7" t="s">
        <v>886</v>
      </c>
      <c r="F9" s="7" t="s">
        <v>887</v>
      </c>
      <c r="G9" s="7" t="s">
        <v>888</v>
      </c>
      <c r="H9" s="7" t="s">
        <v>889</v>
      </c>
      <c r="I9" s="7" t="s">
        <v>890</v>
      </c>
      <c r="J9" s="7" t="s">
        <v>891</v>
      </c>
      <c r="K9" s="7" t="s">
        <v>2418</v>
      </c>
    </row>
    <row r="10" spans="1:11" ht="60">
      <c r="A10" s="7">
        <v>9</v>
      </c>
      <c r="B10" s="7" t="s">
        <v>892</v>
      </c>
      <c r="C10" s="7" t="s">
        <v>54</v>
      </c>
      <c r="D10" s="7" t="s">
        <v>893</v>
      </c>
      <c r="E10" s="7" t="s">
        <v>92</v>
      </c>
      <c r="F10" s="7" t="s">
        <v>93</v>
      </c>
      <c r="G10" s="7" t="s">
        <v>894</v>
      </c>
      <c r="H10" s="7" t="s">
        <v>895</v>
      </c>
      <c r="I10" s="7" t="s">
        <v>96</v>
      </c>
      <c r="J10" s="7" t="s">
        <v>896</v>
      </c>
      <c r="K10" s="7" t="s">
        <v>2418</v>
      </c>
    </row>
    <row r="11" spans="1:11" ht="60">
      <c r="A11" s="7">
        <v>10</v>
      </c>
      <c r="B11" s="7" t="s">
        <v>892</v>
      </c>
      <c r="C11" s="7" t="s">
        <v>54</v>
      </c>
      <c r="D11" s="7" t="s">
        <v>897</v>
      </c>
      <c r="E11" s="7" t="s">
        <v>105</v>
      </c>
      <c r="F11" s="7" t="s">
        <v>104</v>
      </c>
      <c r="G11" s="7" t="s">
        <v>86</v>
      </c>
      <c r="H11" s="7" t="s">
        <v>87</v>
      </c>
      <c r="I11" s="7" t="s">
        <v>898</v>
      </c>
      <c r="J11" s="7" t="s">
        <v>899</v>
      </c>
      <c r="K11" s="7" t="s">
        <v>2419</v>
      </c>
    </row>
    <row r="12" spans="1:11" ht="45">
      <c r="A12" s="7">
        <v>11</v>
      </c>
      <c r="B12" s="7" t="s">
        <v>892</v>
      </c>
      <c r="C12" s="7" t="s">
        <v>54</v>
      </c>
      <c r="D12" s="7" t="s">
        <v>900</v>
      </c>
      <c r="E12" s="7" t="s">
        <v>105</v>
      </c>
      <c r="F12" s="7" t="s">
        <v>86</v>
      </c>
      <c r="G12" s="7" t="s">
        <v>901</v>
      </c>
      <c r="H12" s="7" t="s">
        <v>902</v>
      </c>
      <c r="I12" s="7" t="s">
        <v>903</v>
      </c>
      <c r="J12" s="7" t="s">
        <v>904</v>
      </c>
      <c r="K12" s="7" t="s">
        <v>2420</v>
      </c>
    </row>
    <row r="13" spans="1:11" ht="30">
      <c r="A13" s="7">
        <v>12</v>
      </c>
      <c r="B13" s="7" t="s">
        <v>741</v>
      </c>
      <c r="C13" s="7" t="s">
        <v>54</v>
      </c>
      <c r="D13" s="7" t="s">
        <v>905</v>
      </c>
      <c r="E13" s="7" t="s">
        <v>906</v>
      </c>
      <c r="F13" s="7" t="s">
        <v>907</v>
      </c>
      <c r="G13" s="7" t="s">
        <v>908</v>
      </c>
      <c r="H13" s="7" t="s">
        <v>909</v>
      </c>
      <c r="I13" s="7" t="s">
        <v>910</v>
      </c>
      <c r="J13" s="7" t="s">
        <v>911</v>
      </c>
      <c r="K13" s="7" t="s">
        <v>2421</v>
      </c>
    </row>
    <row r="14" spans="1:11" ht="45">
      <c r="A14" s="7">
        <v>13</v>
      </c>
      <c r="B14" s="7" t="s">
        <v>741</v>
      </c>
      <c r="C14" s="7" t="s">
        <v>54</v>
      </c>
      <c r="D14" s="7" t="s">
        <v>912</v>
      </c>
      <c r="E14" s="7" t="s">
        <v>758</v>
      </c>
      <c r="F14" s="7" t="s">
        <v>750</v>
      </c>
      <c r="G14" s="7" t="s">
        <v>754</v>
      </c>
      <c r="H14" s="7" t="s">
        <v>850</v>
      </c>
      <c r="I14" s="7" t="s">
        <v>913</v>
      </c>
      <c r="J14" s="7" t="s">
        <v>914</v>
      </c>
      <c r="K14" s="7" t="s">
        <v>2422</v>
      </c>
    </row>
    <row r="15" spans="1:11" ht="30">
      <c r="A15" s="7">
        <v>14</v>
      </c>
      <c r="B15" s="7" t="s">
        <v>741</v>
      </c>
      <c r="C15" s="7" t="s">
        <v>54</v>
      </c>
      <c r="D15" s="7" t="s">
        <v>915</v>
      </c>
      <c r="E15" s="7" t="s">
        <v>750</v>
      </c>
      <c r="F15" s="7" t="s">
        <v>754</v>
      </c>
      <c r="G15" s="7" t="s">
        <v>758</v>
      </c>
      <c r="H15" s="7" t="s">
        <v>916</v>
      </c>
      <c r="I15" s="7" t="s">
        <v>917</v>
      </c>
      <c r="J15" s="7" t="s">
        <v>918</v>
      </c>
      <c r="K15" s="7" t="s">
        <v>2423</v>
      </c>
    </row>
    <row r="16" spans="1:11" ht="30">
      <c r="A16" s="7">
        <v>15</v>
      </c>
      <c r="B16" s="7" t="s">
        <v>741</v>
      </c>
      <c r="C16" s="7" t="s">
        <v>54</v>
      </c>
      <c r="D16" s="7" t="s">
        <v>919</v>
      </c>
      <c r="E16" s="7" t="s">
        <v>920</v>
      </c>
      <c r="F16" s="7" t="s">
        <v>921</v>
      </c>
      <c r="G16" s="7" t="s">
        <v>922</v>
      </c>
      <c r="H16" s="7" t="s">
        <v>923</v>
      </c>
      <c r="I16" s="7" t="s">
        <v>924</v>
      </c>
      <c r="J16" s="7" t="s">
        <v>925</v>
      </c>
      <c r="K16" s="7" t="s">
        <v>2424</v>
      </c>
    </row>
    <row r="17" spans="1:11" ht="75">
      <c r="A17" s="7">
        <v>16</v>
      </c>
      <c r="B17" s="7" t="s">
        <v>741</v>
      </c>
      <c r="C17" s="7" t="s">
        <v>54</v>
      </c>
      <c r="D17" s="7" t="s">
        <v>926</v>
      </c>
      <c r="E17" s="7" t="s">
        <v>927</v>
      </c>
      <c r="F17" s="7" t="s">
        <v>928</v>
      </c>
      <c r="G17" s="7" t="s">
        <v>929</v>
      </c>
      <c r="H17" s="7" t="s">
        <v>930</v>
      </c>
      <c r="I17" s="7" t="s">
        <v>931</v>
      </c>
      <c r="J17" s="7" t="s">
        <v>932</v>
      </c>
      <c r="K17" s="7" t="s">
        <v>2424</v>
      </c>
    </row>
    <row r="18" spans="1:11" ht="30">
      <c r="A18" s="7">
        <v>17</v>
      </c>
      <c r="B18" s="7" t="s">
        <v>741</v>
      </c>
      <c r="C18" s="7" t="s">
        <v>54</v>
      </c>
      <c r="D18" s="7" t="s">
        <v>933</v>
      </c>
      <c r="E18" s="7" t="s">
        <v>934</v>
      </c>
      <c r="F18" s="7" t="s">
        <v>935</v>
      </c>
      <c r="G18" s="7" t="s">
        <v>936</v>
      </c>
      <c r="H18" s="7" t="s">
        <v>937</v>
      </c>
      <c r="I18" s="7" t="s">
        <v>938</v>
      </c>
      <c r="J18" s="7" t="s">
        <v>939</v>
      </c>
      <c r="K18" s="7" t="s">
        <v>2425</v>
      </c>
    </row>
    <row r="19" spans="1:11" ht="30">
      <c r="A19" s="7">
        <v>18</v>
      </c>
      <c r="B19" s="7" t="s">
        <v>741</v>
      </c>
      <c r="C19" s="7" t="s">
        <v>54</v>
      </c>
      <c r="D19" s="7" t="s">
        <v>940</v>
      </c>
      <c r="E19" s="7" t="s">
        <v>850</v>
      </c>
      <c r="F19" s="7" t="s">
        <v>941</v>
      </c>
      <c r="G19" s="7" t="s">
        <v>942</v>
      </c>
      <c r="H19" s="7" t="s">
        <v>943</v>
      </c>
      <c r="I19" s="7" t="s">
        <v>944</v>
      </c>
      <c r="J19" s="7" t="s">
        <v>945</v>
      </c>
      <c r="K19" s="7" t="s">
        <v>2426</v>
      </c>
    </row>
    <row r="20" spans="1:11" ht="30">
      <c r="A20" s="7">
        <v>19</v>
      </c>
      <c r="B20" s="7" t="s">
        <v>741</v>
      </c>
      <c r="C20" s="7" t="s">
        <v>54</v>
      </c>
      <c r="D20" s="7" t="s">
        <v>946</v>
      </c>
      <c r="E20" s="7" t="s">
        <v>947</v>
      </c>
      <c r="F20" s="7" t="s">
        <v>948</v>
      </c>
      <c r="G20" s="7" t="s">
        <v>949</v>
      </c>
      <c r="H20" s="7" t="s">
        <v>950</v>
      </c>
      <c r="I20" s="7" t="s">
        <v>951</v>
      </c>
      <c r="J20" s="7" t="s">
        <v>952</v>
      </c>
      <c r="K20" s="7" t="s">
        <v>2427</v>
      </c>
    </row>
    <row r="21" spans="1:11" ht="30">
      <c r="A21" s="7">
        <v>20</v>
      </c>
      <c r="B21" s="7" t="s">
        <v>741</v>
      </c>
      <c r="C21" s="7" t="s">
        <v>54</v>
      </c>
      <c r="D21" s="7" t="s">
        <v>953</v>
      </c>
      <c r="E21" s="7" t="s">
        <v>947</v>
      </c>
      <c r="F21" s="7" t="s">
        <v>948</v>
      </c>
      <c r="G21" s="7" t="s">
        <v>954</v>
      </c>
      <c r="H21" s="7" t="s">
        <v>955</v>
      </c>
      <c r="I21" s="7" t="s">
        <v>956</v>
      </c>
      <c r="J21" s="7" t="s">
        <v>957</v>
      </c>
      <c r="K21" s="7" t="s">
        <v>2428</v>
      </c>
    </row>
    <row r="22" spans="1:11" ht="30">
      <c r="A22" s="7">
        <v>21</v>
      </c>
      <c r="B22" s="7" t="s">
        <v>741</v>
      </c>
      <c r="C22" s="7" t="s">
        <v>54</v>
      </c>
      <c r="D22" s="7" t="s">
        <v>958</v>
      </c>
      <c r="E22" s="7" t="s">
        <v>735</v>
      </c>
      <c r="F22" s="7" t="s">
        <v>959</v>
      </c>
      <c r="G22" s="7" t="s">
        <v>763</v>
      </c>
      <c r="H22" s="7" t="s">
        <v>960</v>
      </c>
      <c r="I22" s="7" t="s">
        <v>961</v>
      </c>
      <c r="J22" s="7" t="s">
        <v>962</v>
      </c>
      <c r="K22" s="7" t="s">
        <v>2429</v>
      </c>
    </row>
    <row r="23" spans="1:11" ht="60">
      <c r="A23" s="7">
        <v>22</v>
      </c>
      <c r="B23" s="7" t="s">
        <v>741</v>
      </c>
      <c r="C23" s="7" t="s">
        <v>54</v>
      </c>
      <c r="D23" s="7" t="s">
        <v>963</v>
      </c>
      <c r="E23" s="7" t="s">
        <v>964</v>
      </c>
      <c r="F23" s="7" t="s">
        <v>965</v>
      </c>
      <c r="G23" s="7" t="s">
        <v>966</v>
      </c>
      <c r="H23" s="7" t="s">
        <v>967</v>
      </c>
      <c r="I23" s="7" t="s">
        <v>968</v>
      </c>
      <c r="J23" s="7" t="s">
        <v>969</v>
      </c>
      <c r="K23" s="7" t="s">
        <v>2429</v>
      </c>
    </row>
    <row r="24" spans="1:11" ht="45">
      <c r="A24" s="7">
        <v>23</v>
      </c>
      <c r="B24" s="7" t="s">
        <v>741</v>
      </c>
      <c r="C24" s="7" t="s">
        <v>54</v>
      </c>
      <c r="D24" s="7" t="s">
        <v>970</v>
      </c>
      <c r="E24" s="7" t="s">
        <v>971</v>
      </c>
      <c r="F24" s="7" t="s">
        <v>972</v>
      </c>
      <c r="G24" s="7" t="s">
        <v>973</v>
      </c>
      <c r="H24" s="7" t="s">
        <v>974</v>
      </c>
      <c r="I24" s="7" t="s">
        <v>975</v>
      </c>
      <c r="J24" s="7" t="s">
        <v>976</v>
      </c>
      <c r="K24" s="7" t="s">
        <v>2429</v>
      </c>
    </row>
    <row r="25" spans="1:11" ht="45">
      <c r="A25" s="7">
        <v>24</v>
      </c>
      <c r="B25" s="7" t="s">
        <v>741</v>
      </c>
      <c r="C25" s="7" t="s">
        <v>54</v>
      </c>
      <c r="D25" s="7" t="s">
        <v>977</v>
      </c>
      <c r="E25" s="7" t="s">
        <v>978</v>
      </c>
      <c r="F25" s="7" t="s">
        <v>979</v>
      </c>
      <c r="G25" s="7" t="s">
        <v>980</v>
      </c>
      <c r="H25" s="7" t="s">
        <v>981</v>
      </c>
      <c r="I25" s="7" t="s">
        <v>982</v>
      </c>
      <c r="J25" s="7" t="s">
        <v>983</v>
      </c>
      <c r="K25" s="7" t="s">
        <v>2430</v>
      </c>
    </row>
    <row r="26" spans="1:11" ht="30">
      <c r="A26" s="7">
        <v>25</v>
      </c>
      <c r="B26" s="7" t="s">
        <v>984</v>
      </c>
      <c r="C26" s="7" t="s">
        <v>54</v>
      </c>
      <c r="D26" s="7" t="s">
        <v>985</v>
      </c>
      <c r="E26" s="7" t="s">
        <v>901</v>
      </c>
      <c r="F26" s="7" t="s">
        <v>86</v>
      </c>
      <c r="G26" s="7" t="s">
        <v>105</v>
      </c>
      <c r="H26" s="7" t="s">
        <v>104</v>
      </c>
      <c r="I26" s="7" t="s">
        <v>986</v>
      </c>
      <c r="J26" s="7" t="s">
        <v>987</v>
      </c>
      <c r="K26" s="7" t="s">
        <v>2431</v>
      </c>
    </row>
    <row r="27" spans="1:11" ht="45">
      <c r="A27" s="7">
        <v>26</v>
      </c>
      <c r="B27" s="7" t="s">
        <v>984</v>
      </c>
      <c r="C27" s="7" t="s">
        <v>54</v>
      </c>
      <c r="D27" s="7" t="s">
        <v>988</v>
      </c>
      <c r="E27" s="7" t="s">
        <v>989</v>
      </c>
      <c r="F27" s="7" t="s">
        <v>990</v>
      </c>
      <c r="G27" s="7" t="s">
        <v>991</v>
      </c>
      <c r="H27" s="7" t="s">
        <v>992</v>
      </c>
      <c r="I27" s="7" t="s">
        <v>993</v>
      </c>
      <c r="J27" s="7" t="s">
        <v>994</v>
      </c>
      <c r="K27" s="7" t="s">
        <v>2432</v>
      </c>
    </row>
    <row r="28" spans="1:11" ht="45">
      <c r="A28" s="7">
        <v>27</v>
      </c>
      <c r="B28" s="7" t="s">
        <v>984</v>
      </c>
      <c r="C28" s="7" t="s">
        <v>54</v>
      </c>
      <c r="D28" s="7" t="s">
        <v>995</v>
      </c>
      <c r="E28" s="7" t="s">
        <v>996</v>
      </c>
      <c r="F28" s="7" t="s">
        <v>997</v>
      </c>
      <c r="G28" s="7" t="s">
        <v>998</v>
      </c>
      <c r="H28" s="7" t="s">
        <v>999</v>
      </c>
      <c r="I28" s="7" t="s">
        <v>1000</v>
      </c>
      <c r="J28" s="7" t="s">
        <v>1001</v>
      </c>
      <c r="K28" s="7" t="s">
        <v>2433</v>
      </c>
    </row>
    <row r="29" spans="1:11" ht="30">
      <c r="A29" s="7">
        <v>28</v>
      </c>
      <c r="B29" s="7" t="s">
        <v>203</v>
      </c>
      <c r="C29" s="7" t="s">
        <v>54</v>
      </c>
      <c r="D29" s="7" t="s">
        <v>1002</v>
      </c>
      <c r="E29" s="7" t="s">
        <v>1003</v>
      </c>
      <c r="F29" s="7" t="s">
        <v>1004</v>
      </c>
      <c r="G29" s="7" t="s">
        <v>1005</v>
      </c>
      <c r="H29" s="7" t="s">
        <v>1006</v>
      </c>
      <c r="I29" s="7" t="s">
        <v>1007</v>
      </c>
      <c r="J29" s="7" t="s">
        <v>1008</v>
      </c>
      <c r="K29" s="7" t="s">
        <v>2434</v>
      </c>
    </row>
    <row r="30" spans="1:11" ht="45">
      <c r="A30" s="7">
        <v>29</v>
      </c>
      <c r="B30" s="7" t="s">
        <v>203</v>
      </c>
      <c r="C30" s="7" t="s">
        <v>54</v>
      </c>
      <c r="D30" s="7" t="s">
        <v>1009</v>
      </c>
      <c r="E30" s="7" t="s">
        <v>1010</v>
      </c>
      <c r="F30" s="7" t="s">
        <v>1011</v>
      </c>
      <c r="G30" s="7" t="s">
        <v>1012</v>
      </c>
      <c r="H30" s="7" t="s">
        <v>1013</v>
      </c>
      <c r="I30" s="7" t="s">
        <v>1014</v>
      </c>
      <c r="J30" s="7" t="s">
        <v>1015</v>
      </c>
      <c r="K30" s="7" t="s">
        <v>2435</v>
      </c>
    </row>
    <row r="31" spans="1:11" ht="30">
      <c r="A31" s="7">
        <v>30</v>
      </c>
      <c r="B31" s="7" t="s">
        <v>203</v>
      </c>
      <c r="C31" s="7" t="s">
        <v>54</v>
      </c>
      <c r="D31" s="7" t="s">
        <v>1016</v>
      </c>
      <c r="E31" s="7" t="s">
        <v>1017</v>
      </c>
      <c r="F31" s="7" t="s">
        <v>1018</v>
      </c>
      <c r="G31" s="7" t="s">
        <v>1019</v>
      </c>
      <c r="H31" s="7" t="s">
        <v>1020</v>
      </c>
      <c r="I31" s="7" t="s">
        <v>1021</v>
      </c>
      <c r="J31" s="7" t="s">
        <v>1022</v>
      </c>
      <c r="K31" s="7" t="s">
        <v>2436</v>
      </c>
    </row>
    <row r="32" spans="1:11" ht="30">
      <c r="A32" s="7">
        <v>31</v>
      </c>
      <c r="B32" s="7" t="s">
        <v>203</v>
      </c>
      <c r="C32" s="7" t="s">
        <v>54</v>
      </c>
      <c r="D32" s="7" t="s">
        <v>1023</v>
      </c>
      <c r="E32" s="7" t="s">
        <v>1024</v>
      </c>
      <c r="F32" s="7" t="s">
        <v>1025</v>
      </c>
      <c r="G32" s="7" t="s">
        <v>1026</v>
      </c>
      <c r="H32" s="7" t="s">
        <v>1027</v>
      </c>
      <c r="I32" s="7" t="s">
        <v>1028</v>
      </c>
      <c r="J32" s="7" t="s">
        <v>1029</v>
      </c>
      <c r="K32" s="7" t="s">
        <v>2437</v>
      </c>
    </row>
    <row r="33" spans="1:11" ht="30">
      <c r="A33" s="7">
        <v>32</v>
      </c>
      <c r="B33" s="7" t="s">
        <v>203</v>
      </c>
      <c r="C33" s="7" t="s">
        <v>54</v>
      </c>
      <c r="D33" s="7" t="s">
        <v>1030</v>
      </c>
      <c r="E33" s="7" t="s">
        <v>1031</v>
      </c>
      <c r="F33" s="7" t="s">
        <v>1032</v>
      </c>
      <c r="G33" s="7" t="s">
        <v>1033</v>
      </c>
      <c r="H33" s="7" t="s">
        <v>1034</v>
      </c>
      <c r="I33" s="7" t="s">
        <v>1035</v>
      </c>
      <c r="J33" s="7" t="s">
        <v>1036</v>
      </c>
      <c r="K33" s="7" t="s">
        <v>2438</v>
      </c>
    </row>
    <row r="34" spans="1:11" ht="30">
      <c r="A34" s="7">
        <v>33</v>
      </c>
      <c r="B34" s="7" t="s">
        <v>203</v>
      </c>
      <c r="C34" s="7" t="s">
        <v>54</v>
      </c>
      <c r="D34" s="7" t="s">
        <v>1037</v>
      </c>
      <c r="E34" s="7" t="s">
        <v>1031</v>
      </c>
      <c r="F34" s="7" t="s">
        <v>1033</v>
      </c>
      <c r="G34" s="7" t="s">
        <v>1032</v>
      </c>
      <c r="H34" s="7" t="s">
        <v>1038</v>
      </c>
      <c r="I34" s="7" t="s">
        <v>1039</v>
      </c>
      <c r="J34" s="7" t="s">
        <v>1040</v>
      </c>
      <c r="K34" s="7" t="s">
        <v>2439</v>
      </c>
    </row>
    <row r="35" spans="1:11" ht="30">
      <c r="A35" s="7">
        <v>34</v>
      </c>
      <c r="B35" s="7" t="s">
        <v>203</v>
      </c>
      <c r="C35" s="7" t="s">
        <v>54</v>
      </c>
      <c r="D35" s="7" t="s">
        <v>1041</v>
      </c>
      <c r="E35" s="7" t="s">
        <v>1042</v>
      </c>
      <c r="F35" s="7" t="s">
        <v>1043</v>
      </c>
      <c r="G35" s="7" t="s">
        <v>1044</v>
      </c>
      <c r="H35" s="7" t="s">
        <v>1045</v>
      </c>
      <c r="I35" s="7" t="s">
        <v>1046</v>
      </c>
      <c r="J35" s="7" t="s">
        <v>1047</v>
      </c>
      <c r="K35" s="7" t="s">
        <v>2440</v>
      </c>
    </row>
    <row r="36" spans="1:11" ht="30">
      <c r="A36" s="7">
        <v>35</v>
      </c>
      <c r="B36" s="7" t="s">
        <v>203</v>
      </c>
      <c r="C36" s="7" t="s">
        <v>54</v>
      </c>
      <c r="D36" s="7" t="s">
        <v>1048</v>
      </c>
      <c r="E36" s="7" t="s">
        <v>1031</v>
      </c>
      <c r="F36" s="7" t="s">
        <v>1032</v>
      </c>
      <c r="G36" s="7" t="s">
        <v>1033</v>
      </c>
      <c r="H36" s="7" t="s">
        <v>1049</v>
      </c>
      <c r="I36" s="7" t="s">
        <v>1050</v>
      </c>
      <c r="J36" s="7" t="s">
        <v>1051</v>
      </c>
      <c r="K36" s="7" t="s">
        <v>2441</v>
      </c>
    </row>
    <row r="37" spans="1:11" ht="30">
      <c r="A37" s="7">
        <v>36</v>
      </c>
      <c r="B37" s="7" t="s">
        <v>203</v>
      </c>
      <c r="C37" s="7" t="s">
        <v>54</v>
      </c>
      <c r="D37" s="7" t="s">
        <v>1052</v>
      </c>
      <c r="E37" s="7" t="s">
        <v>1053</v>
      </c>
      <c r="F37" s="7" t="s">
        <v>1054</v>
      </c>
      <c r="G37" s="7" t="s">
        <v>1055</v>
      </c>
      <c r="H37" s="7" t="s">
        <v>1056</v>
      </c>
      <c r="I37" s="7" t="s">
        <v>1057</v>
      </c>
      <c r="J37" s="7" t="s">
        <v>1058</v>
      </c>
      <c r="K37" s="7" t="s">
        <v>2441</v>
      </c>
    </row>
    <row r="38" spans="1:11" ht="45">
      <c r="A38" s="7">
        <v>37</v>
      </c>
      <c r="B38" s="7" t="s">
        <v>203</v>
      </c>
      <c r="C38" s="7" t="s">
        <v>54</v>
      </c>
      <c r="D38" s="7" t="s">
        <v>1059</v>
      </c>
      <c r="E38" s="7" t="s">
        <v>1060</v>
      </c>
      <c r="F38" s="7" t="s">
        <v>1061</v>
      </c>
      <c r="G38" s="7" t="s">
        <v>1062</v>
      </c>
      <c r="H38" s="7" t="s">
        <v>1063</v>
      </c>
      <c r="I38" s="7" t="s">
        <v>1064</v>
      </c>
      <c r="J38" s="7" t="s">
        <v>1065</v>
      </c>
      <c r="K38" s="7" t="s">
        <v>2442</v>
      </c>
    </row>
    <row r="39" spans="1:11" ht="30">
      <c r="A39" s="7">
        <v>38</v>
      </c>
      <c r="B39" s="7" t="s">
        <v>203</v>
      </c>
      <c r="C39" s="7" t="s">
        <v>54</v>
      </c>
      <c r="D39" s="7" t="s">
        <v>1066</v>
      </c>
      <c r="E39" s="7" t="s">
        <v>1067</v>
      </c>
      <c r="F39" s="7" t="s">
        <v>1068</v>
      </c>
      <c r="G39" s="7" t="s">
        <v>1069</v>
      </c>
      <c r="H39" s="7" t="s">
        <v>1070</v>
      </c>
      <c r="I39" s="7" t="s">
        <v>1071</v>
      </c>
      <c r="J39" s="7" t="s">
        <v>1072</v>
      </c>
      <c r="K39" s="7" t="s">
        <v>2443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6"/>
  <sheetViews>
    <sheetView workbookViewId="0"/>
  </sheetViews>
  <sheetFormatPr defaultRowHeight="15"/>
  <cols>
    <col min="1" max="1" width="28" customWidth="1"/>
    <col min="2" max="2" width="70" customWidth="1"/>
    <col min="3" max="3" width="28" customWidth="1"/>
  </cols>
  <sheetData>
    <row r="1" spans="1:3" ht="24" customHeight="1">
      <c r="A1" s="130" t="s">
        <v>570</v>
      </c>
      <c r="B1" s="130" t="s">
        <v>571</v>
      </c>
      <c r="C1" s="130" t="s">
        <v>2392</v>
      </c>
    </row>
    <row r="2" spans="1:3" ht="30">
      <c r="A2" s="7" t="s">
        <v>1486</v>
      </c>
      <c r="B2" s="7" t="s">
        <v>1487</v>
      </c>
      <c r="C2" s="7" t="s">
        <v>1490</v>
      </c>
    </row>
    <row r="3" spans="1:3" ht="30">
      <c r="A3" s="7" t="s">
        <v>841</v>
      </c>
      <c r="B3" s="7" t="s">
        <v>1491</v>
      </c>
      <c r="C3" s="7" t="s">
        <v>1490</v>
      </c>
    </row>
    <row r="4" spans="1:3" ht="45">
      <c r="A4" s="7" t="s">
        <v>1494</v>
      </c>
      <c r="B4" s="7" t="s">
        <v>1495</v>
      </c>
      <c r="C4" s="7" t="s">
        <v>1497</v>
      </c>
    </row>
    <row r="5" spans="1:3" ht="30">
      <c r="A5" s="7" t="s">
        <v>1498</v>
      </c>
      <c r="B5" s="7" t="s">
        <v>1499</v>
      </c>
      <c r="C5" s="7" t="s">
        <v>1497</v>
      </c>
    </row>
    <row r="6" spans="1:3" ht="30">
      <c r="A6" s="7" t="s">
        <v>1502</v>
      </c>
      <c r="B6" s="7" t="s">
        <v>1503</v>
      </c>
      <c r="C6" s="7" t="s">
        <v>1506</v>
      </c>
    </row>
    <row r="7" spans="1:3" ht="30">
      <c r="A7" s="7" t="s">
        <v>1507</v>
      </c>
      <c r="B7" s="7" t="s">
        <v>1508</v>
      </c>
      <c r="C7" s="7" t="s">
        <v>1511</v>
      </c>
    </row>
    <row r="8" spans="1:3" ht="30">
      <c r="A8" s="7" t="s">
        <v>1512</v>
      </c>
      <c r="B8" s="7" t="s">
        <v>1513</v>
      </c>
      <c r="C8" s="7" t="s">
        <v>1516</v>
      </c>
    </row>
    <row r="9" spans="1:3" ht="30">
      <c r="A9" s="7" t="s">
        <v>1517</v>
      </c>
      <c r="B9" s="7" t="s">
        <v>1518</v>
      </c>
      <c r="C9" s="7" t="s">
        <v>1521</v>
      </c>
    </row>
    <row r="10" spans="1:3" ht="30">
      <c r="A10" s="7" t="s">
        <v>1522</v>
      </c>
      <c r="B10" s="7" t="s">
        <v>1523</v>
      </c>
      <c r="C10" s="7" t="s">
        <v>1521</v>
      </c>
    </row>
    <row r="11" spans="1:3" ht="30">
      <c r="A11" s="7" t="s">
        <v>1526</v>
      </c>
      <c r="B11" s="7" t="s">
        <v>1527</v>
      </c>
      <c r="C11" s="7" t="s">
        <v>1521</v>
      </c>
    </row>
    <row r="12" spans="1:3" ht="30">
      <c r="A12" s="7" t="s">
        <v>1530</v>
      </c>
      <c r="B12" s="7" t="s">
        <v>1531</v>
      </c>
      <c r="C12" s="7" t="s">
        <v>1534</v>
      </c>
    </row>
    <row r="13" spans="1:3" ht="30">
      <c r="A13" s="7" t="s">
        <v>1535</v>
      </c>
      <c r="B13" s="7" t="s">
        <v>1536</v>
      </c>
      <c r="C13" s="7" t="s">
        <v>1539</v>
      </c>
    </row>
    <row r="14" spans="1:3" ht="45">
      <c r="A14" s="7" t="s">
        <v>1540</v>
      </c>
      <c r="B14" s="7" t="s">
        <v>1541</v>
      </c>
      <c r="C14" s="7" t="s">
        <v>1544</v>
      </c>
    </row>
    <row r="15" spans="1:3" ht="45">
      <c r="A15" s="7" t="s">
        <v>1545</v>
      </c>
      <c r="B15" s="7" t="s">
        <v>1546</v>
      </c>
      <c r="C15" s="7" t="s">
        <v>1549</v>
      </c>
    </row>
    <row r="16" spans="1:3" ht="45">
      <c r="A16" s="7" t="s">
        <v>1550</v>
      </c>
      <c r="B16" s="7" t="s">
        <v>1551</v>
      </c>
      <c r="C16" s="7" t="s">
        <v>1554</v>
      </c>
    </row>
    <row r="17" spans="1:3" ht="30">
      <c r="A17" s="7" t="s">
        <v>1555</v>
      </c>
      <c r="B17" s="7" t="s">
        <v>1556</v>
      </c>
      <c r="C17" s="7" t="s">
        <v>1559</v>
      </c>
    </row>
    <row r="18" spans="1:3" ht="45">
      <c r="A18" s="7" t="s">
        <v>1560</v>
      </c>
      <c r="B18" s="7" t="s">
        <v>1561</v>
      </c>
      <c r="C18" s="7" t="s">
        <v>1564</v>
      </c>
    </row>
    <row r="19" spans="1:3" ht="45">
      <c r="A19" s="7" t="s">
        <v>1565</v>
      </c>
      <c r="B19" s="7" t="s">
        <v>1566</v>
      </c>
      <c r="C19" s="7" t="s">
        <v>1569</v>
      </c>
    </row>
    <row r="20" spans="1:3" ht="30">
      <c r="A20" s="7" t="s">
        <v>1570</v>
      </c>
      <c r="B20" s="7" t="s">
        <v>1571</v>
      </c>
      <c r="C20" s="7" t="s">
        <v>1569</v>
      </c>
    </row>
    <row r="21" spans="1:3" ht="45">
      <c r="A21" s="7" t="s">
        <v>1574</v>
      </c>
      <c r="B21" s="7" t="s">
        <v>1575</v>
      </c>
      <c r="C21" s="7" t="s">
        <v>1578</v>
      </c>
    </row>
    <row r="22" spans="1:3" ht="30">
      <c r="A22" s="7" t="s">
        <v>866</v>
      </c>
      <c r="B22" s="7" t="s">
        <v>1579</v>
      </c>
      <c r="C22" s="7" t="s">
        <v>1582</v>
      </c>
    </row>
    <row r="23" spans="1:3" ht="45">
      <c r="A23" s="7" t="s">
        <v>1583</v>
      </c>
      <c r="B23" s="7" t="s">
        <v>1584</v>
      </c>
      <c r="C23" s="7" t="s">
        <v>1582</v>
      </c>
    </row>
    <row r="24" spans="1:3" ht="45">
      <c r="A24" s="7" t="s">
        <v>1587</v>
      </c>
      <c r="B24" s="7" t="s">
        <v>1588</v>
      </c>
      <c r="C24" s="7" t="s">
        <v>1591</v>
      </c>
    </row>
    <row r="25" spans="1:3" ht="30">
      <c r="A25" s="7" t="s">
        <v>1592</v>
      </c>
      <c r="B25" s="7" t="s">
        <v>1593</v>
      </c>
      <c r="C25" s="7" t="s">
        <v>1596</v>
      </c>
    </row>
    <row r="26" spans="1:3" ht="45">
      <c r="A26" s="7" t="s">
        <v>1597</v>
      </c>
      <c r="B26" s="7" t="s">
        <v>1598</v>
      </c>
      <c r="C26" s="7" t="s">
        <v>1596</v>
      </c>
    </row>
    <row r="27" spans="1:3" ht="30">
      <c r="A27" s="7" t="s">
        <v>860</v>
      </c>
      <c r="B27" s="7" t="s">
        <v>1601</v>
      </c>
      <c r="C27" s="7" t="s">
        <v>1596</v>
      </c>
    </row>
    <row r="28" spans="1:3" ht="30">
      <c r="A28" s="7" t="s">
        <v>1604</v>
      </c>
      <c r="B28" s="7" t="s">
        <v>1605</v>
      </c>
      <c r="C28" s="7" t="s">
        <v>1608</v>
      </c>
    </row>
    <row r="29" spans="1:3" ht="30">
      <c r="A29" s="7" t="s">
        <v>1609</v>
      </c>
      <c r="B29" s="7" t="s">
        <v>1610</v>
      </c>
      <c r="C29" s="7" t="s">
        <v>1608</v>
      </c>
    </row>
    <row r="30" spans="1:3" ht="30">
      <c r="A30" s="7" t="s">
        <v>1613</v>
      </c>
      <c r="B30" s="7" t="s">
        <v>1614</v>
      </c>
      <c r="C30" s="7" t="s">
        <v>1608</v>
      </c>
    </row>
    <row r="31" spans="1:3" ht="30">
      <c r="A31" s="7" t="s">
        <v>842</v>
      </c>
      <c r="B31" s="7" t="s">
        <v>1617</v>
      </c>
      <c r="C31" s="7" t="s">
        <v>1620</v>
      </c>
    </row>
    <row r="32" spans="1:3" ht="45">
      <c r="A32" s="7" t="s">
        <v>1621</v>
      </c>
      <c r="B32" s="7" t="s">
        <v>1622</v>
      </c>
      <c r="C32" s="7" t="s">
        <v>1620</v>
      </c>
    </row>
    <row r="33" spans="1:3" ht="30">
      <c r="A33" s="7" t="s">
        <v>1625</v>
      </c>
      <c r="B33" s="7" t="s">
        <v>1626</v>
      </c>
      <c r="C33" s="7" t="s">
        <v>1629</v>
      </c>
    </row>
    <row r="34" spans="1:3" ht="30">
      <c r="A34" s="7" t="s">
        <v>1630</v>
      </c>
      <c r="B34" s="7" t="s">
        <v>1631</v>
      </c>
      <c r="C34" s="7" t="s">
        <v>1634</v>
      </c>
    </row>
    <row r="35" spans="1:3" ht="30">
      <c r="A35" s="7" t="s">
        <v>1635</v>
      </c>
      <c r="B35" s="7" t="s">
        <v>1636</v>
      </c>
      <c r="C35" s="7" t="s">
        <v>1639</v>
      </c>
    </row>
    <row r="36" spans="1:3" ht="30">
      <c r="A36" s="7" t="s">
        <v>1081</v>
      </c>
      <c r="B36" s="7" t="s">
        <v>1640</v>
      </c>
      <c r="C36" s="7" t="s">
        <v>1643</v>
      </c>
    </row>
    <row r="37" spans="1:3" ht="30">
      <c r="A37" s="7" t="s">
        <v>1086</v>
      </c>
      <c r="B37" s="7" t="s">
        <v>1644</v>
      </c>
      <c r="C37" s="7" t="s">
        <v>1646</v>
      </c>
    </row>
    <row r="38" spans="1:3" ht="30">
      <c r="A38" s="7" t="s">
        <v>742</v>
      </c>
      <c r="B38" s="7" t="s">
        <v>1647</v>
      </c>
      <c r="C38" s="7" t="s">
        <v>1650</v>
      </c>
    </row>
    <row r="39" spans="1:3" ht="30">
      <c r="A39" s="7" t="s">
        <v>1651</v>
      </c>
      <c r="B39" s="7" t="s">
        <v>1652</v>
      </c>
      <c r="C39" s="7" t="s">
        <v>1655</v>
      </c>
    </row>
    <row r="40" spans="1:3" ht="30">
      <c r="A40" s="7" t="s">
        <v>1656</v>
      </c>
      <c r="B40" s="7" t="s">
        <v>1657</v>
      </c>
      <c r="C40" s="7" t="s">
        <v>1659</v>
      </c>
    </row>
    <row r="41" spans="1:3" ht="30">
      <c r="A41" s="7" t="s">
        <v>1135</v>
      </c>
      <c r="B41" s="7" t="s">
        <v>1660</v>
      </c>
      <c r="C41" s="7" t="s">
        <v>1663</v>
      </c>
    </row>
    <row r="42" spans="1:3" ht="30">
      <c r="A42" s="7" t="s">
        <v>1139</v>
      </c>
      <c r="B42" s="7" t="s">
        <v>1664</v>
      </c>
      <c r="C42" s="7" t="s">
        <v>1659</v>
      </c>
    </row>
    <row r="43" spans="1:3" ht="30">
      <c r="A43" s="7" t="s">
        <v>920</v>
      </c>
      <c r="B43" s="7" t="s">
        <v>1666</v>
      </c>
      <c r="C43" s="7" t="s">
        <v>1669</v>
      </c>
    </row>
    <row r="44" spans="1:3" ht="30">
      <c r="A44" s="7" t="s">
        <v>922</v>
      </c>
      <c r="B44" s="7" t="s">
        <v>1670</v>
      </c>
      <c r="C44" s="7" t="s">
        <v>1673</v>
      </c>
    </row>
    <row r="45" spans="1:3" ht="30">
      <c r="A45" s="7" t="s">
        <v>921</v>
      </c>
      <c r="B45" s="7" t="s">
        <v>1674</v>
      </c>
      <c r="C45" s="7" t="s">
        <v>1659</v>
      </c>
    </row>
    <row r="46" spans="1:3" ht="30">
      <c r="A46" s="7" t="s">
        <v>923</v>
      </c>
      <c r="B46" s="7" t="s">
        <v>1677</v>
      </c>
      <c r="C46" s="7" t="s">
        <v>1659</v>
      </c>
    </row>
    <row r="47" spans="1:3" ht="30">
      <c r="A47" s="7" t="s">
        <v>758</v>
      </c>
      <c r="B47" s="7" t="s">
        <v>1680</v>
      </c>
      <c r="C47" s="7" t="s">
        <v>1683</v>
      </c>
    </row>
    <row r="48" spans="1:3" ht="30">
      <c r="A48" s="7" t="s">
        <v>1684</v>
      </c>
      <c r="B48" s="7" t="s">
        <v>1685</v>
      </c>
      <c r="C48" s="7" t="s">
        <v>1688</v>
      </c>
    </row>
    <row r="49" spans="1:3" ht="30">
      <c r="A49" s="7" t="s">
        <v>754</v>
      </c>
      <c r="B49" s="7" t="s">
        <v>1689</v>
      </c>
      <c r="C49" s="7" t="s">
        <v>1691</v>
      </c>
    </row>
    <row r="50" spans="1:3" ht="30">
      <c r="A50" s="7" t="s">
        <v>1692</v>
      </c>
      <c r="B50" s="7" t="s">
        <v>1693</v>
      </c>
      <c r="C50" s="7" t="s">
        <v>1696</v>
      </c>
    </row>
    <row r="51" spans="1:3" ht="30">
      <c r="A51" s="7" t="s">
        <v>935</v>
      </c>
      <c r="B51" s="7" t="s">
        <v>1697</v>
      </c>
      <c r="C51" s="7" t="s">
        <v>1700</v>
      </c>
    </row>
    <row r="52" spans="1:3" ht="30">
      <c r="A52" s="7" t="s">
        <v>1701</v>
      </c>
      <c r="B52" s="7" t="s">
        <v>1702</v>
      </c>
      <c r="C52" s="7" t="s">
        <v>1705</v>
      </c>
    </row>
    <row r="53" spans="1:3" ht="30">
      <c r="A53" s="7" t="s">
        <v>1124</v>
      </c>
      <c r="B53" s="7" t="s">
        <v>1706</v>
      </c>
      <c r="C53" s="7" t="s">
        <v>1705</v>
      </c>
    </row>
    <row r="54" spans="1:3" ht="30">
      <c r="A54" s="7" t="s">
        <v>942</v>
      </c>
      <c r="B54" s="7" t="s">
        <v>1709</v>
      </c>
      <c r="C54" s="7" t="s">
        <v>1712</v>
      </c>
    </row>
    <row r="55" spans="1:3" ht="30">
      <c r="A55" s="7" t="s">
        <v>1713</v>
      </c>
      <c r="B55" s="7" t="s">
        <v>1714</v>
      </c>
      <c r="C55" s="7" t="s">
        <v>1717</v>
      </c>
    </row>
    <row r="56" spans="1:3" ht="30">
      <c r="A56" s="7" t="s">
        <v>1718</v>
      </c>
      <c r="B56" s="7" t="s">
        <v>1719</v>
      </c>
      <c r="C56" s="7" t="s">
        <v>1722</v>
      </c>
    </row>
    <row r="57" spans="1:3" ht="30">
      <c r="A57" s="7" t="s">
        <v>1723</v>
      </c>
      <c r="B57" s="7" t="s">
        <v>1724</v>
      </c>
      <c r="C57" s="7" t="s">
        <v>1727</v>
      </c>
    </row>
    <row r="58" spans="1:3" ht="30">
      <c r="A58" s="7" t="s">
        <v>1728</v>
      </c>
      <c r="B58" s="7" t="s">
        <v>1729</v>
      </c>
      <c r="C58" s="7" t="s">
        <v>1732</v>
      </c>
    </row>
    <row r="59" spans="1:3" ht="30">
      <c r="A59" s="7" t="s">
        <v>1733</v>
      </c>
      <c r="B59" s="7" t="s">
        <v>1734</v>
      </c>
      <c r="C59" s="7" t="s">
        <v>1737</v>
      </c>
    </row>
    <row r="60" spans="1:3" ht="30">
      <c r="A60" s="7" t="s">
        <v>1738</v>
      </c>
      <c r="B60" s="7" t="s">
        <v>1739</v>
      </c>
      <c r="C60" s="7" t="s">
        <v>1742</v>
      </c>
    </row>
    <row r="61" spans="1:3" ht="30">
      <c r="A61" s="7" t="s">
        <v>947</v>
      </c>
      <c r="B61" s="7" t="s">
        <v>1743</v>
      </c>
      <c r="C61" s="7" t="s">
        <v>1746</v>
      </c>
    </row>
    <row r="62" spans="1:3" ht="30">
      <c r="A62" s="7" t="s">
        <v>948</v>
      </c>
      <c r="B62" s="7" t="s">
        <v>1747</v>
      </c>
      <c r="C62" s="7" t="s">
        <v>1750</v>
      </c>
    </row>
    <row r="63" spans="1:3" ht="30">
      <c r="A63" s="7" t="s">
        <v>763</v>
      </c>
      <c r="B63" s="7" t="s">
        <v>1751</v>
      </c>
      <c r="C63" s="7" t="s">
        <v>1754</v>
      </c>
    </row>
    <row r="64" spans="1:3" ht="45">
      <c r="A64" s="7" t="s">
        <v>1755</v>
      </c>
      <c r="B64" s="7" t="s">
        <v>1756</v>
      </c>
      <c r="C64" s="7" t="s">
        <v>1759</v>
      </c>
    </row>
    <row r="65" spans="1:3" ht="30">
      <c r="A65" s="7" t="s">
        <v>941</v>
      </c>
      <c r="B65" s="7" t="s">
        <v>1760</v>
      </c>
      <c r="C65" s="7" t="s">
        <v>1759</v>
      </c>
    </row>
    <row r="66" spans="1:3" ht="30">
      <c r="A66" s="7" t="s">
        <v>1763</v>
      </c>
      <c r="B66" s="7" t="s">
        <v>1764</v>
      </c>
      <c r="C66" s="7" t="s">
        <v>1767</v>
      </c>
    </row>
    <row r="67" spans="1:3" ht="30">
      <c r="A67" s="7" t="s">
        <v>1768</v>
      </c>
      <c r="B67" s="7" t="s">
        <v>1769</v>
      </c>
      <c r="C67" s="7" t="s">
        <v>1772</v>
      </c>
    </row>
    <row r="68" spans="1:3" ht="45">
      <c r="A68" s="7" t="s">
        <v>1773</v>
      </c>
      <c r="B68" s="7" t="s">
        <v>1774</v>
      </c>
      <c r="C68" s="7" t="s">
        <v>1777</v>
      </c>
    </row>
    <row r="69" spans="1:3" ht="30">
      <c r="A69" s="7" t="s">
        <v>1778</v>
      </c>
      <c r="B69" s="7" t="s">
        <v>1779</v>
      </c>
      <c r="C69" s="7" t="s">
        <v>1782</v>
      </c>
    </row>
    <row r="70" spans="1:3" ht="45">
      <c r="A70" s="7" t="s">
        <v>1783</v>
      </c>
      <c r="B70" s="7" t="s">
        <v>1784</v>
      </c>
      <c r="C70" s="7" t="s">
        <v>1787</v>
      </c>
    </row>
    <row r="71" spans="1:3" ht="30">
      <c r="A71" s="7" t="s">
        <v>1788</v>
      </c>
      <c r="B71" s="7" t="s">
        <v>1789</v>
      </c>
      <c r="C71" s="7" t="s">
        <v>1792</v>
      </c>
    </row>
    <row r="72" spans="1:3" ht="30">
      <c r="A72" s="7" t="s">
        <v>1793</v>
      </c>
      <c r="B72" s="7" t="s">
        <v>1794</v>
      </c>
      <c r="C72" s="7" t="s">
        <v>1797</v>
      </c>
    </row>
    <row r="73" spans="1:3" ht="30">
      <c r="A73" s="7" t="s">
        <v>1798</v>
      </c>
      <c r="B73" s="7" t="s">
        <v>1799</v>
      </c>
      <c r="C73" s="7" t="s">
        <v>1802</v>
      </c>
    </row>
    <row r="74" spans="1:3" ht="45">
      <c r="A74" s="7" t="s">
        <v>1803</v>
      </c>
      <c r="B74" s="7" t="s">
        <v>1804</v>
      </c>
      <c r="C74" s="7" t="s">
        <v>1807</v>
      </c>
    </row>
    <row r="75" spans="1:3" ht="30">
      <c r="A75" s="7" t="s">
        <v>1808</v>
      </c>
      <c r="B75" s="7" t="s">
        <v>1809</v>
      </c>
      <c r="C75" s="7" t="s">
        <v>1812</v>
      </c>
    </row>
    <row r="76" spans="1:3" ht="30">
      <c r="A76" s="7" t="s">
        <v>1813</v>
      </c>
      <c r="B76" s="7" t="s">
        <v>1814</v>
      </c>
      <c r="C76" s="7" t="s">
        <v>1817</v>
      </c>
    </row>
    <row r="77" spans="1:3" ht="30">
      <c r="A77" s="7" t="s">
        <v>1818</v>
      </c>
      <c r="B77" s="7" t="s">
        <v>1819</v>
      </c>
      <c r="C77" s="7" t="s">
        <v>1817</v>
      </c>
    </row>
    <row r="78" spans="1:3" ht="30">
      <c r="A78" s="7" t="s">
        <v>1822</v>
      </c>
      <c r="B78" s="7" t="s">
        <v>1823</v>
      </c>
      <c r="C78" s="7" t="s">
        <v>1817</v>
      </c>
    </row>
    <row r="79" spans="1:3" ht="30">
      <c r="A79" s="7" t="s">
        <v>1826</v>
      </c>
      <c r="B79" s="7" t="s">
        <v>1827</v>
      </c>
      <c r="C79" s="7" t="s">
        <v>1830</v>
      </c>
    </row>
    <row r="80" spans="1:3" ht="30">
      <c r="A80" s="7" t="s">
        <v>1831</v>
      </c>
      <c r="B80" s="7" t="s">
        <v>1832</v>
      </c>
      <c r="C80" s="7" t="s">
        <v>1835</v>
      </c>
    </row>
    <row r="81" spans="1:3" ht="30">
      <c r="A81" s="7" t="s">
        <v>1836</v>
      </c>
      <c r="B81" s="7" t="s">
        <v>1837</v>
      </c>
      <c r="C81" s="7" t="s">
        <v>1840</v>
      </c>
    </row>
    <row r="82" spans="1:3" ht="30">
      <c r="A82" s="7" t="s">
        <v>1841</v>
      </c>
      <c r="B82" s="7" t="s">
        <v>1842</v>
      </c>
      <c r="C82" s="7" t="s">
        <v>1845</v>
      </c>
    </row>
    <row r="83" spans="1:3" ht="30">
      <c r="A83" s="7" t="s">
        <v>1846</v>
      </c>
      <c r="B83" s="7" t="s">
        <v>1847</v>
      </c>
      <c r="C83" s="7" t="s">
        <v>1850</v>
      </c>
    </row>
    <row r="84" spans="1:3" ht="30">
      <c r="A84" s="7" t="s">
        <v>1851</v>
      </c>
      <c r="B84" s="7" t="s">
        <v>1852</v>
      </c>
      <c r="C84" s="7" t="s">
        <v>1855</v>
      </c>
    </row>
    <row r="85" spans="1:3" ht="30">
      <c r="A85" s="7" t="s">
        <v>1856</v>
      </c>
      <c r="B85" s="7" t="s">
        <v>1857</v>
      </c>
      <c r="C85" s="7" t="s">
        <v>1860</v>
      </c>
    </row>
    <row r="86" spans="1:3" ht="30">
      <c r="A86" s="7" t="s">
        <v>1861</v>
      </c>
      <c r="B86" s="7" t="s">
        <v>1862</v>
      </c>
      <c r="C86" s="7" t="s">
        <v>1865</v>
      </c>
    </row>
    <row r="87" spans="1:3" ht="30">
      <c r="A87" s="7" t="s">
        <v>1866</v>
      </c>
      <c r="B87" s="7" t="s">
        <v>1867</v>
      </c>
      <c r="C87" s="7" t="s">
        <v>1870</v>
      </c>
    </row>
    <row r="88" spans="1:3" ht="30">
      <c r="A88" s="7" t="s">
        <v>1871</v>
      </c>
      <c r="B88" s="7" t="s">
        <v>1872</v>
      </c>
      <c r="C88" s="7" t="s">
        <v>1875</v>
      </c>
    </row>
    <row r="89" spans="1:3" ht="30">
      <c r="A89" s="7" t="s">
        <v>1876</v>
      </c>
      <c r="B89" s="7" t="s">
        <v>1877</v>
      </c>
      <c r="C89" s="7" t="s">
        <v>1880</v>
      </c>
    </row>
    <row r="90" spans="1:3" ht="30">
      <c r="A90" s="7" t="s">
        <v>1881</v>
      </c>
      <c r="B90" s="7" t="s">
        <v>1882</v>
      </c>
      <c r="C90" s="7" t="s">
        <v>1885</v>
      </c>
    </row>
    <row r="91" spans="1:3" ht="30">
      <c r="A91" s="7" t="s">
        <v>1886</v>
      </c>
      <c r="B91" s="7" t="s">
        <v>1887</v>
      </c>
      <c r="C91" s="7" t="s">
        <v>1890</v>
      </c>
    </row>
    <row r="92" spans="1:3" ht="30">
      <c r="A92" s="7" t="s">
        <v>708</v>
      </c>
      <c r="B92" s="7" t="s">
        <v>1891</v>
      </c>
      <c r="C92" s="7" t="s">
        <v>1894</v>
      </c>
    </row>
    <row r="93" spans="1:3" ht="30">
      <c r="A93" s="7" t="s">
        <v>1895</v>
      </c>
      <c r="B93" s="7" t="s">
        <v>1896</v>
      </c>
      <c r="C93" s="7" t="s">
        <v>1899</v>
      </c>
    </row>
    <row r="94" spans="1:3" ht="30">
      <c r="A94" s="7" t="s">
        <v>1900</v>
      </c>
      <c r="B94" s="7" t="s">
        <v>1901</v>
      </c>
      <c r="C94" s="7" t="s">
        <v>1904</v>
      </c>
    </row>
    <row r="95" spans="1:3" ht="30">
      <c r="A95" s="7" t="s">
        <v>1905</v>
      </c>
      <c r="B95" s="7" t="s">
        <v>1906</v>
      </c>
      <c r="C95" s="7" t="s">
        <v>1909</v>
      </c>
    </row>
    <row r="96" spans="1:3" ht="30">
      <c r="A96" s="7" t="s">
        <v>1910</v>
      </c>
      <c r="B96" s="7" t="s">
        <v>1911</v>
      </c>
      <c r="C96" s="7" t="s">
        <v>1914</v>
      </c>
    </row>
    <row r="97" spans="1:3" ht="30">
      <c r="A97" s="7" t="s">
        <v>1915</v>
      </c>
      <c r="B97" s="7" t="s">
        <v>1916</v>
      </c>
      <c r="C97" s="7" t="s">
        <v>1914</v>
      </c>
    </row>
    <row r="98" spans="1:3" ht="30">
      <c r="A98" s="7" t="s">
        <v>1919</v>
      </c>
      <c r="B98" s="7" t="s">
        <v>1920</v>
      </c>
      <c r="C98" s="7" t="s">
        <v>1923</v>
      </c>
    </row>
    <row r="99" spans="1:3" ht="30">
      <c r="A99" s="7" t="s">
        <v>1924</v>
      </c>
      <c r="B99" s="7" t="s">
        <v>1925</v>
      </c>
      <c r="C99" s="7" t="s">
        <v>1928</v>
      </c>
    </row>
    <row r="100" spans="1:3" ht="30">
      <c r="A100" s="7" t="s">
        <v>1929</v>
      </c>
      <c r="B100" s="7" t="s">
        <v>1930</v>
      </c>
      <c r="C100" s="7" t="s">
        <v>1933</v>
      </c>
    </row>
    <row r="101" spans="1:3" ht="30">
      <c r="A101" s="7" t="s">
        <v>1934</v>
      </c>
      <c r="B101" s="7" t="s">
        <v>1935</v>
      </c>
      <c r="C101" s="7" t="s">
        <v>1938</v>
      </c>
    </row>
    <row r="102" spans="1:3" ht="30">
      <c r="A102" s="7" t="s">
        <v>1939</v>
      </c>
      <c r="B102" s="7" t="s">
        <v>1940</v>
      </c>
      <c r="C102" s="7" t="s">
        <v>1943</v>
      </c>
    </row>
    <row r="103" spans="1:3" ht="30">
      <c r="A103" s="7" t="s">
        <v>1944</v>
      </c>
      <c r="B103" s="7" t="s">
        <v>1945</v>
      </c>
      <c r="C103" s="7" t="s">
        <v>1943</v>
      </c>
    </row>
    <row r="104" spans="1:3" ht="30">
      <c r="A104" s="7" t="s">
        <v>1948</v>
      </c>
      <c r="B104" s="7" t="s">
        <v>1949</v>
      </c>
      <c r="C104" s="7" t="s">
        <v>1952</v>
      </c>
    </row>
    <row r="105" spans="1:3" ht="30">
      <c r="A105" s="7" t="s">
        <v>1953</v>
      </c>
      <c r="B105" s="7" t="s">
        <v>1954</v>
      </c>
      <c r="C105" s="7" t="s">
        <v>1957</v>
      </c>
    </row>
    <row r="106" spans="1:3" ht="30">
      <c r="A106" s="7" t="s">
        <v>1958</v>
      </c>
      <c r="B106" s="7" t="s">
        <v>1959</v>
      </c>
      <c r="C106" s="7" t="s">
        <v>1962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add definitions and answers</vt:lpstr>
      <vt:lpstr>Quiz</vt:lpstr>
      <vt:lpstr>Agencies</vt:lpstr>
      <vt:lpstr>Laws</vt:lpstr>
      <vt:lpstr>Concepts</vt:lpstr>
      <vt:lpstr>Fed &amp; Pricing</vt:lpstr>
      <vt:lpstr>Loan Types</vt:lpstr>
      <vt:lpstr>Math Formulas</vt:lpstr>
      <vt:lpstr>Qualifying</vt:lpstr>
      <vt:lpstr>Flashcards</vt:lpstr>
      <vt:lpstr>RE2 Module 4</vt:lpstr>
      <vt:lpstr>RE2 Flashcards</vt:lpstr>
      <vt:lpstr>Source Notes</vt:lpstr>
      <vt:lpstr>RE2 Full Concepts</vt:lpstr>
      <vt:lpstr>Due Diligence Review</vt:lpstr>
      <vt:lpstr>Professor AI Intake</vt:lpstr>
      <vt:lpstr>Professor AI Concepts</vt:lpstr>
      <vt:lpstr>Professor AI Questions</vt:lpstr>
      <vt:lpstr>Professor AI 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HERMES INVESTMENT SERVICES LLP</cp:lastModifiedBy>
  <dcterms:created xsi:type="dcterms:W3CDTF">2026-06-01T21:54:57Z</dcterms:created>
  <dcterms:modified xsi:type="dcterms:W3CDTF">2026-06-01T21:54:57Z</dcterms:modified>
</cp:coreProperties>
</file>